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0001176.dss.dssmithgroup.local\users$\gbmaxkra\Data\Desktop\Prozesstechnologie\Prozess Berechnungen\"/>
    </mc:Choice>
  </mc:AlternateContent>
  <xr:revisionPtr revIDLastSave="0" documentId="8_{6FB16487-AEA8-4C58-93DF-3D76AB961B5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UNI_AA_VERSION" hidden="1">"322.3.0"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" l="1"/>
  <c r="B31" i="1"/>
  <c r="K26" i="1"/>
  <c r="K24" i="1"/>
  <c r="K23" i="1"/>
  <c r="B12" i="1"/>
  <c r="H18" i="1"/>
  <c r="H16" i="1"/>
  <c r="H20" i="1" s="1"/>
  <c r="K16" i="1"/>
  <c r="B23" i="1"/>
  <c r="B24" i="1" s="1"/>
  <c r="B10" i="1"/>
  <c r="B20" i="1"/>
  <c r="B11" i="1"/>
  <c r="H26" i="1" s="1"/>
  <c r="B21" i="1" l="1"/>
  <c r="H21" i="1"/>
  <c r="K20" i="1"/>
  <c r="K21" i="1"/>
  <c r="H23" i="1"/>
  <c r="H24" i="1" s="1"/>
  <c r="K18" i="1"/>
</calcChain>
</file>

<file path=xl/sharedStrings.xml><?xml version="1.0" encoding="utf-8"?>
<sst xmlns="http://schemas.openxmlformats.org/spreadsheetml/2006/main" count="55" uniqueCount="31">
  <si>
    <t>t/h</t>
  </si>
  <si>
    <t>%</t>
  </si>
  <si>
    <t>m/min</t>
  </si>
  <si>
    <t>m</t>
  </si>
  <si>
    <t>SpeedSizer</t>
  </si>
  <si>
    <t>m³/h</t>
  </si>
  <si>
    <t>m²/h</t>
  </si>
  <si>
    <t>ml/m²</t>
  </si>
  <si>
    <t>g/m²</t>
  </si>
  <si>
    <t>Calculation Water Pick up from Size Press</t>
  </si>
  <si>
    <t>Production Rate</t>
  </si>
  <si>
    <t>Moisture at popereel</t>
  </si>
  <si>
    <t>Moisture out of Pre Dryers</t>
  </si>
  <si>
    <t>Speed</t>
  </si>
  <si>
    <t>Paper sheet width</t>
  </si>
  <si>
    <t>Area</t>
  </si>
  <si>
    <t>Production in bndr</t>
  </si>
  <si>
    <t>Volume of water coming from predryer</t>
  </si>
  <si>
    <t>2-033-FI200 (Starch flow top roll)</t>
  </si>
  <si>
    <t>2-033-FC100 (Water flow bottom roll)</t>
  </si>
  <si>
    <t>2-033-FC200 (Water flow top roll)</t>
  </si>
  <si>
    <t>2-033-FI100 (Starch bottom top roll)</t>
  </si>
  <si>
    <t>Application starch slurry top roll</t>
  </si>
  <si>
    <t>Application starch slurry bottom roll</t>
  </si>
  <si>
    <t>Concentration of starch from storage tank</t>
  </si>
  <si>
    <t>Water Application</t>
  </si>
  <si>
    <t>Moisture after Speedsizer</t>
  </si>
  <si>
    <t>Starch Application</t>
  </si>
  <si>
    <t>Starch usage calc.</t>
  </si>
  <si>
    <t>Concentration working tank bottom roll</t>
  </si>
  <si>
    <t>Concentration working tank top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</si>
</sst>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2" fontId="0" fillId="0" borderId="0" xfId="0" applyNumberFormat="1"/>
    <xf numFmtId="9" fontId="0" fillId="0" borderId="0" xfId="0" applyNumberFormat="1"/>
    <xf numFmtId="1" fontId="0" fillId="0" borderId="0" xfId="0" applyNumberFormat="1"/>
    <xf numFmtId="0" fontId="0" fillId="0" borderId="3" xfId="0" applyBorder="1"/>
    <xf numFmtId="0" fontId="0" fillId="0" borderId="4" xfId="0" applyBorder="1"/>
    <xf numFmtId="2" fontId="0" fillId="0" borderId="3" xfId="0" applyNumberFormat="1" applyBorder="1"/>
    <xf numFmtId="2" fontId="0" fillId="0" borderId="5" xfId="0" applyNumberFormat="1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right"/>
    </xf>
    <xf numFmtId="2" fontId="0" fillId="0" borderId="8" xfId="0" applyNumberFormat="1" applyBorder="1"/>
    <xf numFmtId="0" fontId="0" fillId="0" borderId="9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/>
    <xf numFmtId="164" fontId="1" fillId="2" borderId="0" xfId="1" applyNumberFormat="1"/>
    <xf numFmtId="9" fontId="1" fillId="2" borderId="0" xfId="1" applyNumberFormat="1"/>
    <xf numFmtId="2" fontId="1" fillId="2" borderId="0" xfId="1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topLeftCell="A4" workbookViewId="0">
      <selection activeCell="E38" sqref="E38"/>
    </sheetView>
  </sheetViews>
  <sheetFormatPr defaultColWidth="11.42578125" defaultRowHeight="15" x14ac:dyDescent="0.25"/>
  <cols>
    <col min="1" max="1" width="35.42578125" customWidth="1"/>
    <col min="5" max="5" width="39.85546875" customWidth="1"/>
    <col min="6" max="6" width="24.5703125" customWidth="1"/>
    <col min="10" max="10" width="17.7109375" customWidth="1"/>
  </cols>
  <sheetData>
    <row r="1" spans="1:12" x14ac:dyDescent="0.25">
      <c r="A1" t="s">
        <v>9</v>
      </c>
    </row>
    <row r="4" spans="1:12" x14ac:dyDescent="0.25">
      <c r="A4" t="s">
        <v>10</v>
      </c>
      <c r="B4">
        <v>54.55</v>
      </c>
      <c r="C4" t="s">
        <v>0</v>
      </c>
    </row>
    <row r="5" spans="1:12" x14ac:dyDescent="0.25">
      <c r="A5" t="s">
        <v>11</v>
      </c>
      <c r="B5">
        <v>7.5</v>
      </c>
      <c r="C5" t="s">
        <v>1</v>
      </c>
    </row>
    <row r="6" spans="1:12" x14ac:dyDescent="0.25">
      <c r="A6" t="s">
        <v>12</v>
      </c>
      <c r="B6">
        <v>10</v>
      </c>
      <c r="C6" t="s">
        <v>1</v>
      </c>
    </row>
    <row r="7" spans="1:12" x14ac:dyDescent="0.25">
      <c r="A7" t="s">
        <v>13</v>
      </c>
      <c r="B7">
        <v>1320</v>
      </c>
      <c r="C7" t="s">
        <v>2</v>
      </c>
    </row>
    <row r="8" spans="1:12" x14ac:dyDescent="0.25">
      <c r="A8" t="s">
        <v>14</v>
      </c>
      <c r="B8">
        <v>7.5</v>
      </c>
      <c r="C8" t="s">
        <v>3</v>
      </c>
    </row>
    <row r="10" spans="1:12" x14ac:dyDescent="0.25">
      <c r="A10" t="s">
        <v>15</v>
      </c>
      <c r="B10">
        <f>B8*B7*60</f>
        <v>594000</v>
      </c>
      <c r="C10" t="s">
        <v>6</v>
      </c>
    </row>
    <row r="11" spans="1:12" x14ac:dyDescent="0.25">
      <c r="A11" t="s">
        <v>16</v>
      </c>
      <c r="B11" s="1">
        <f>B4*(100-B5)/100</f>
        <v>50.458750000000002</v>
      </c>
      <c r="C11" t="s">
        <v>0</v>
      </c>
      <c r="H11" s="1"/>
    </row>
    <row r="12" spans="1:12" x14ac:dyDescent="0.25">
      <c r="A12" t="s">
        <v>17</v>
      </c>
      <c r="B12" s="1">
        <f>(B11*(100+B6)/100)-B11</f>
        <v>5.0458750000000023</v>
      </c>
      <c r="C12" t="s">
        <v>0</v>
      </c>
      <c r="H12" s="1"/>
    </row>
    <row r="13" spans="1:12" x14ac:dyDescent="0.25">
      <c r="B13" s="1"/>
      <c r="H13" s="1"/>
    </row>
    <row r="14" spans="1:12" x14ac:dyDescent="0.25">
      <c r="A14" t="s">
        <v>4</v>
      </c>
      <c r="B14" s="1"/>
      <c r="E14" s="18" t="s">
        <v>24</v>
      </c>
      <c r="F14" s="18"/>
      <c r="G14" s="9"/>
      <c r="H14" s="17" t="s">
        <v>25</v>
      </c>
      <c r="I14" s="16"/>
      <c r="K14" s="15" t="s">
        <v>27</v>
      </c>
      <c r="L14" s="16"/>
    </row>
    <row r="15" spans="1:12" x14ac:dyDescent="0.25">
      <c r="A15" t="s">
        <v>19</v>
      </c>
      <c r="B15" s="21">
        <v>3.5</v>
      </c>
      <c r="C15" t="s">
        <v>5</v>
      </c>
      <c r="H15" s="6"/>
      <c r="I15" s="5"/>
      <c r="K15" s="4"/>
      <c r="L15" s="5"/>
    </row>
    <row r="16" spans="1:12" x14ac:dyDescent="0.25">
      <c r="A16" t="s">
        <v>21</v>
      </c>
      <c r="B16" s="21">
        <v>8.5</v>
      </c>
      <c r="C16" t="s">
        <v>5</v>
      </c>
      <c r="E16" s="3">
        <v>24</v>
      </c>
      <c r="F16" s="2" t="s">
        <v>1</v>
      </c>
      <c r="G16" s="2"/>
      <c r="H16" s="6">
        <f>B16*(100-E16)/100</f>
        <v>6.46</v>
      </c>
      <c r="I16" s="5" t="s">
        <v>5</v>
      </c>
      <c r="K16" s="6">
        <f>B16-H16</f>
        <v>2.04</v>
      </c>
      <c r="L16" s="5" t="s">
        <v>0</v>
      </c>
    </row>
    <row r="17" spans="1:13" x14ac:dyDescent="0.25">
      <c r="A17" t="s">
        <v>20</v>
      </c>
      <c r="B17" s="21">
        <v>4.3</v>
      </c>
      <c r="C17" t="s">
        <v>5</v>
      </c>
      <c r="H17" s="6"/>
      <c r="I17" s="5"/>
      <c r="K17" s="6"/>
      <c r="L17" s="5"/>
    </row>
    <row r="18" spans="1:13" x14ac:dyDescent="0.25">
      <c r="A18" t="s">
        <v>18</v>
      </c>
      <c r="B18" s="21">
        <v>8.1999999999999993</v>
      </c>
      <c r="C18" t="s">
        <v>5</v>
      </c>
      <c r="E18">
        <v>24</v>
      </c>
      <c r="F18" t="s">
        <v>1</v>
      </c>
      <c r="H18" s="6">
        <f>B18*(100-E18)/100</f>
        <v>6.2319999999999993</v>
      </c>
      <c r="I18" s="5" t="s">
        <v>5</v>
      </c>
      <c r="K18" s="6">
        <f>B18-H18</f>
        <v>1.968</v>
      </c>
      <c r="L18" s="5" t="s">
        <v>0</v>
      </c>
    </row>
    <row r="19" spans="1:13" x14ac:dyDescent="0.25">
      <c r="B19" s="1"/>
      <c r="H19" s="6"/>
      <c r="I19" s="5"/>
      <c r="K19" s="6"/>
      <c r="L19" s="5"/>
    </row>
    <row r="20" spans="1:13" x14ac:dyDescent="0.25">
      <c r="B20" s="1">
        <f>B15+B16</f>
        <v>12</v>
      </c>
      <c r="C20" t="s">
        <v>5</v>
      </c>
      <c r="E20" s="19">
        <v>0.215</v>
      </c>
      <c r="H20" s="6">
        <f>H16+B15</f>
        <v>9.9600000000000009</v>
      </c>
      <c r="I20" s="5" t="s">
        <v>5</v>
      </c>
      <c r="K20" s="6">
        <f>K16*100/B11</f>
        <v>4.0429063343820442</v>
      </c>
      <c r="L20" s="5" t="s">
        <v>1</v>
      </c>
    </row>
    <row r="21" spans="1:13" x14ac:dyDescent="0.25">
      <c r="A21" s="10" t="s">
        <v>22</v>
      </c>
      <c r="B21" s="12">
        <f>B20*1000*1000/B10</f>
        <v>20.202020202020201</v>
      </c>
      <c r="C21" s="13" t="s">
        <v>7</v>
      </c>
      <c r="D21" s="14"/>
      <c r="H21" s="6">
        <f>H20/B10*1000*1000</f>
        <v>16.767676767676768</v>
      </c>
      <c r="I21" s="5" t="s">
        <v>7</v>
      </c>
      <c r="K21" s="6">
        <f>K16/B10*1000*1000</f>
        <v>3.4343434343434343</v>
      </c>
      <c r="L21" s="5" t="s">
        <v>8</v>
      </c>
      <c r="M21" s="1"/>
    </row>
    <row r="22" spans="1:13" x14ac:dyDescent="0.25">
      <c r="B22" s="1"/>
      <c r="H22" s="6"/>
      <c r="I22" s="5"/>
      <c r="K22" s="6"/>
      <c r="L22" s="5"/>
    </row>
    <row r="23" spans="1:13" x14ac:dyDescent="0.25">
      <c r="B23" s="1">
        <f>B17+B18</f>
        <v>12.5</v>
      </c>
      <c r="C23" t="s">
        <v>5</v>
      </c>
      <c r="H23" s="6">
        <f>H18+B17</f>
        <v>10.532</v>
      </c>
      <c r="I23" s="5" t="s">
        <v>5</v>
      </c>
      <c r="K23" s="6">
        <f>K18*100/B11</f>
        <v>3.9002155225803254</v>
      </c>
      <c r="L23" s="5" t="s">
        <v>1</v>
      </c>
    </row>
    <row r="24" spans="1:13" x14ac:dyDescent="0.25">
      <c r="A24" s="10" t="s">
        <v>23</v>
      </c>
      <c r="B24" s="12">
        <f>B23*1000*1000/B10</f>
        <v>21.043771043771045</v>
      </c>
      <c r="C24" s="13" t="s">
        <v>7</v>
      </c>
      <c r="D24" s="14"/>
      <c r="H24" s="7">
        <f>H23*1000*1000/B10</f>
        <v>17.73063973063973</v>
      </c>
      <c r="I24" s="8" t="s">
        <v>7</v>
      </c>
      <c r="K24" s="6">
        <f>K18/B10*1000*1000</f>
        <v>3.3131313131313131</v>
      </c>
      <c r="L24" s="5" t="s">
        <v>8</v>
      </c>
    </row>
    <row r="25" spans="1:13" x14ac:dyDescent="0.25">
      <c r="B25" s="1"/>
      <c r="H25" s="1"/>
      <c r="K25" s="6"/>
      <c r="L25" s="5"/>
    </row>
    <row r="26" spans="1:13" x14ac:dyDescent="0.25">
      <c r="B26" s="1"/>
      <c r="F26" s="10" t="s">
        <v>26</v>
      </c>
      <c r="G26" s="11"/>
      <c r="H26" s="12">
        <f>SUM(H18,B17,H16,B15,B12)*100/SUM(H18,B17,H16,B15,B12,B11)</f>
        <v>33.603959386354326</v>
      </c>
      <c r="I26" s="13" t="s">
        <v>1</v>
      </c>
      <c r="J26" t="s">
        <v>28</v>
      </c>
      <c r="K26" s="7">
        <f>(K18+K16)*100/B11</f>
        <v>7.9431218569623701</v>
      </c>
      <c r="L26" s="8" t="s">
        <v>1</v>
      </c>
    </row>
    <row r="31" spans="1:13" x14ac:dyDescent="0.25">
      <c r="A31" t="s">
        <v>29</v>
      </c>
      <c r="B31" s="20">
        <f>(B16*E20)/((B16*(1-E20))+B15)</f>
        <v>0.17965101990661095</v>
      </c>
    </row>
    <row r="32" spans="1:13" x14ac:dyDescent="0.25">
      <c r="A32" t="s">
        <v>30</v>
      </c>
      <c r="B32" s="20">
        <f>(B18*E20)/((B18*(1-E20))+B17)</f>
        <v>0.16419856570736707</v>
      </c>
    </row>
  </sheetData>
  <mergeCells count="2">
    <mergeCell ref="K14:L14"/>
    <mergeCell ref="H14:I14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SCA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Olsson Matthias</dc:creator>
  <cp:lastModifiedBy>Maximilian Krallinger</cp:lastModifiedBy>
  <dcterms:created xsi:type="dcterms:W3CDTF">2013-06-17T09:44:18Z</dcterms:created>
  <dcterms:modified xsi:type="dcterms:W3CDTF">2025-07-28T08:24:02Z</dcterms:modified>
</cp:coreProperties>
</file>