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ss365-my.sharepoint.com/personal/carolina_jaimes_prado_dssmith_com/Documents/costimiser/"/>
    </mc:Choice>
  </mc:AlternateContent>
  <xr:revisionPtr revIDLastSave="137" documentId="8_{5972E64C-3EBF-4E9A-A1C0-C483EFCF5469}" xr6:coauthVersionLast="47" xr6:coauthVersionMax="47" xr10:uidLastSave="{8925EFEA-51F4-43ED-B93B-64874C06E6F3}"/>
  <bookViews>
    <workbookView xWindow="-120" yWindow="-120" windowWidth="29040" windowHeight="15840" firstSheet="5" activeTab="5" xr2:uid="{00000000-000D-0000-FFFF-FFFF00000000}"/>
  </bookViews>
  <sheets>
    <sheet name="Sheet1" sheetId="1" state="hidden" r:id="rId1"/>
    <sheet name="Sheet3" sheetId="3" state="hidden" r:id="rId2"/>
    <sheet name="New List of Tags vs IDI" sheetId="2" state="hidden" r:id="rId3"/>
    <sheet name="Old List of R&amp;D Tags vs IDI" sheetId="5" state="hidden" r:id="rId4"/>
    <sheet name="CHECK THIS ONE" sheetId="6" state="hidden" r:id="rId5"/>
    <sheet name="R&amp;D tags in IDI format" sheetId="11" r:id="rId6"/>
    <sheet name="R&amp;D Tags Missing in IDI (AB)" sheetId="9" r:id="rId7"/>
    <sheet name="IDI tags corrected" sheetId="10" r:id="rId8"/>
    <sheet name="Sheet5" sheetId="8" state="hidden" r:id="rId9"/>
    <sheet name="Sheet4" sheetId="7" state="hidden" r:id="rId10"/>
  </sheets>
  <definedNames>
    <definedName name="_xlnm._FilterDatabase" localSheetId="0" hidden="1">Sheet1!$A$1:$G$368</definedName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8"/>
  <pivotCaches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8" i="6" l="1"/>
  <c r="J2" i="5"/>
  <c r="D2" i="6"/>
  <c r="D42" i="6"/>
  <c r="D302" i="6"/>
  <c r="D303" i="6"/>
  <c r="D304" i="6"/>
  <c r="D305" i="6"/>
  <c r="D223" i="6"/>
  <c r="D21" i="6"/>
  <c r="D191" i="6"/>
  <c r="D306" i="6"/>
  <c r="D18" i="6"/>
  <c r="D307" i="6"/>
  <c r="D20" i="6"/>
  <c r="D3" i="6"/>
  <c r="D19" i="6"/>
  <c r="D309" i="6"/>
  <c r="D310" i="6"/>
  <c r="D311" i="6"/>
  <c r="D312" i="6"/>
  <c r="D111" i="6"/>
  <c r="D110" i="6"/>
  <c r="D116" i="6"/>
  <c r="D115" i="6"/>
  <c r="D114" i="6"/>
  <c r="D113" i="6"/>
  <c r="D112" i="6"/>
  <c r="D109" i="6"/>
  <c r="D108" i="6"/>
  <c r="D313" i="6"/>
  <c r="D238" i="6"/>
  <c r="D237" i="6"/>
  <c r="D314" i="6"/>
  <c r="D315" i="6"/>
  <c r="D236" i="6"/>
  <c r="D316" i="6"/>
  <c r="D153" i="6"/>
  <c r="D317" i="6"/>
  <c r="D232" i="6"/>
  <c r="D231" i="6"/>
  <c r="D239" i="6"/>
  <c r="D240" i="6"/>
  <c r="D241" i="6"/>
  <c r="D242" i="6"/>
  <c r="D318" i="6"/>
  <c r="D278" i="6"/>
  <c r="D277" i="6"/>
  <c r="D276" i="6"/>
  <c r="D319" i="6"/>
  <c r="D320" i="6"/>
  <c r="D321" i="6"/>
  <c r="D268" i="6"/>
  <c r="D267" i="6"/>
  <c r="D265" i="6"/>
  <c r="D266" i="6"/>
  <c r="D262" i="6"/>
  <c r="D263" i="6"/>
  <c r="D264" i="6"/>
  <c r="D257" i="6"/>
  <c r="D254" i="6"/>
  <c r="D255" i="6"/>
  <c r="D256" i="6"/>
  <c r="D258" i="6"/>
  <c r="D259" i="6"/>
  <c r="D261" i="6"/>
  <c r="D260" i="6"/>
  <c r="D253" i="6"/>
  <c r="D252" i="6"/>
  <c r="D43" i="6"/>
  <c r="D44" i="6"/>
  <c r="D50" i="6"/>
  <c r="D138" i="6"/>
  <c r="D47" i="6"/>
  <c r="D122" i="6"/>
  <c r="D177" i="6"/>
  <c r="D166" i="6"/>
  <c r="D121" i="6"/>
  <c r="D176" i="6"/>
  <c r="D164" i="6"/>
  <c r="D165" i="6"/>
  <c r="D175" i="6"/>
  <c r="D174" i="6"/>
  <c r="D184" i="6"/>
  <c r="D163" i="6"/>
  <c r="D162" i="6"/>
  <c r="D183" i="6"/>
  <c r="D51" i="6"/>
  <c r="D322" i="6"/>
  <c r="D15" i="6"/>
  <c r="D129" i="6"/>
  <c r="D117" i="6"/>
  <c r="D127" i="6"/>
  <c r="D10" i="6"/>
  <c r="D11" i="6"/>
  <c r="D49" i="6"/>
  <c r="D52" i="6"/>
  <c r="D48" i="6"/>
  <c r="D54" i="6"/>
  <c r="D134" i="6"/>
  <c r="D135" i="6"/>
  <c r="D142" i="6"/>
  <c r="D323" i="6"/>
  <c r="D324" i="6"/>
  <c r="D325" i="6"/>
  <c r="D141" i="6"/>
  <c r="D326" i="6"/>
  <c r="D155" i="6"/>
  <c r="D151" i="6"/>
  <c r="D156" i="6"/>
  <c r="D152" i="6"/>
  <c r="D327" i="6"/>
  <c r="D328" i="6"/>
  <c r="D154" i="6"/>
  <c r="D329" i="6"/>
  <c r="D148" i="6"/>
  <c r="D147" i="6"/>
  <c r="D120" i="6"/>
  <c r="D126" i="6"/>
  <c r="D133" i="6"/>
  <c r="D137" i="6"/>
  <c r="D144" i="6"/>
  <c r="D136" i="6"/>
  <c r="D132" i="6"/>
  <c r="D143" i="6"/>
  <c r="D330" i="6"/>
  <c r="D105" i="6"/>
  <c r="D96" i="6"/>
  <c r="D331" i="6"/>
  <c r="D107" i="6"/>
  <c r="D106" i="6"/>
  <c r="D102" i="6"/>
  <c r="D94" i="6"/>
  <c r="D95" i="6"/>
  <c r="D104" i="6"/>
  <c r="D103" i="6"/>
  <c r="D97" i="6"/>
  <c r="D84" i="6"/>
  <c r="D92" i="6"/>
  <c r="D99" i="6"/>
  <c r="D98" i="6"/>
  <c r="D85" i="6"/>
  <c r="D87" i="6"/>
  <c r="D88" i="6"/>
  <c r="D83" i="6"/>
  <c r="D93" i="6"/>
  <c r="D101" i="6"/>
  <c r="D86" i="6"/>
  <c r="D82" i="6"/>
  <c r="D90" i="6"/>
  <c r="D91" i="6"/>
  <c r="D81" i="6"/>
  <c r="D100" i="6"/>
  <c r="D89" i="6"/>
  <c r="D140" i="6"/>
  <c r="D150" i="6"/>
  <c r="D146" i="6"/>
  <c r="D139" i="6"/>
  <c r="D149" i="6"/>
  <c r="D145" i="6"/>
  <c r="D332" i="6"/>
  <c r="D333" i="6"/>
  <c r="D334" i="6"/>
  <c r="D335" i="6"/>
  <c r="D336" i="6"/>
  <c r="D337" i="6"/>
  <c r="D338" i="6"/>
  <c r="D339" i="6"/>
  <c r="D204" i="6"/>
  <c r="D78" i="6"/>
  <c r="D251" i="6"/>
  <c r="D66" i="6"/>
  <c r="D62" i="6"/>
  <c r="D58" i="6"/>
  <c r="D173" i="6"/>
  <c r="D182" i="6"/>
  <c r="D181" i="6"/>
  <c r="D172" i="6"/>
  <c r="D340" i="6"/>
  <c r="D180" i="6"/>
  <c r="D171" i="6"/>
  <c r="D178" i="6"/>
  <c r="D179" i="6"/>
  <c r="D170" i="6"/>
  <c r="D188" i="6"/>
  <c r="D189" i="6"/>
  <c r="D169" i="6"/>
  <c r="D187" i="6"/>
  <c r="D161" i="6"/>
  <c r="D168" i="6"/>
  <c r="D186" i="6"/>
  <c r="D185" i="6"/>
  <c r="D4" i="6"/>
  <c r="D167" i="6"/>
  <c r="D269" i="6"/>
  <c r="D270" i="6"/>
  <c r="D128" i="6"/>
  <c r="D14" i="6"/>
  <c r="D131" i="6"/>
  <c r="D125" i="6"/>
  <c r="D119" i="6"/>
  <c r="D130" i="6"/>
  <c r="D124" i="6"/>
  <c r="D13" i="6"/>
  <c r="D118" i="6"/>
  <c r="D16" i="6"/>
  <c r="D123" i="6"/>
  <c r="D12" i="6"/>
  <c r="D341" i="6"/>
  <c r="D342" i="6"/>
  <c r="D56" i="6"/>
  <c r="D60" i="6"/>
  <c r="D59" i="6"/>
  <c r="D55" i="6"/>
  <c r="D74" i="6"/>
  <c r="D73" i="6"/>
  <c r="D72" i="6"/>
  <c r="D71" i="6"/>
  <c r="D70" i="6"/>
  <c r="D69" i="6"/>
  <c r="D68" i="6"/>
  <c r="D76" i="6"/>
  <c r="D75" i="6"/>
  <c r="D57" i="6"/>
  <c r="D53" i="6"/>
  <c r="D64" i="6"/>
  <c r="D9" i="6"/>
  <c r="D41" i="6"/>
  <c r="D40" i="6"/>
  <c r="D39" i="6"/>
  <c r="D79" i="6"/>
  <c r="D67" i="6"/>
  <c r="D159" i="6"/>
  <c r="D157" i="6"/>
  <c r="D158" i="6"/>
  <c r="D77" i="6"/>
  <c r="D63" i="6"/>
  <c r="D61" i="6"/>
  <c r="D80" i="6"/>
  <c r="D33" i="6"/>
  <c r="D24" i="6"/>
  <c r="D32" i="6"/>
  <c r="D23" i="6"/>
  <c r="D22" i="6"/>
  <c r="D343" i="6"/>
  <c r="D344" i="6"/>
  <c r="D5" i="6"/>
  <c r="D7" i="6"/>
  <c r="D345" i="6"/>
  <c r="D6" i="6"/>
  <c r="D35" i="6"/>
  <c r="D34" i="6"/>
  <c r="D31" i="6"/>
  <c r="D37" i="6"/>
  <c r="D38" i="6"/>
  <c r="D36" i="6"/>
  <c r="D28" i="6"/>
  <c r="D30" i="6"/>
  <c r="D29" i="6"/>
  <c r="D27" i="6"/>
  <c r="D26" i="6"/>
  <c r="D65" i="6"/>
  <c r="D25" i="6"/>
  <c r="D203" i="6"/>
  <c r="D160" i="6"/>
  <c r="D195" i="6"/>
  <c r="D8" i="6"/>
  <c r="D194" i="6"/>
  <c r="D215" i="6"/>
  <c r="D207" i="6"/>
  <c r="D214" i="6"/>
  <c r="D206" i="6"/>
  <c r="D213" i="6"/>
  <c r="D208" i="6"/>
  <c r="D235" i="6"/>
  <c r="D230" i="6"/>
  <c r="D217" i="6"/>
  <c r="D234" i="6"/>
  <c r="D216" i="6"/>
  <c r="D229" i="6"/>
  <c r="D228" i="6"/>
  <c r="D226" i="6"/>
  <c r="D227" i="6"/>
  <c r="D205" i="6"/>
  <c r="D212" i="6"/>
  <c r="D224" i="6"/>
  <c r="D225" i="6"/>
  <c r="D218" i="6"/>
  <c r="D219" i="6"/>
  <c r="D210" i="6"/>
  <c r="D220" i="6"/>
  <c r="D250" i="6"/>
  <c r="D221" i="6"/>
  <c r="D248" i="6"/>
  <c r="D233" i="6"/>
  <c r="D246" i="6"/>
  <c r="D209" i="6"/>
  <c r="D249" i="6"/>
  <c r="D192" i="6"/>
  <c r="D211" i="6"/>
  <c r="D193" i="6"/>
  <c r="D222" i="6"/>
  <c r="D245" i="6"/>
  <c r="D244" i="6"/>
  <c r="D295" i="6"/>
  <c r="D294" i="6"/>
  <c r="D45" i="6"/>
  <c r="D197" i="6"/>
  <c r="D243" i="6"/>
  <c r="D196" i="6"/>
  <c r="D46" i="6"/>
  <c r="D198" i="6"/>
  <c r="D201" i="6"/>
  <c r="D346" i="6"/>
  <c r="D17" i="6"/>
  <c r="D202" i="6"/>
  <c r="D200" i="6"/>
  <c r="D199" i="6"/>
  <c r="D347" i="6"/>
  <c r="D247" i="6"/>
  <c r="D348" i="6"/>
  <c r="D293" i="6"/>
  <c r="D274" i="6"/>
  <c r="D289" i="6"/>
  <c r="D273" i="6"/>
  <c r="D288" i="6"/>
  <c r="D292" i="6"/>
  <c r="D291" i="6"/>
  <c r="D300" i="6"/>
  <c r="D349" i="6"/>
  <c r="D350" i="6"/>
  <c r="D301" i="6"/>
  <c r="D282" i="6"/>
  <c r="D283" i="6"/>
  <c r="D298" i="6"/>
  <c r="D284" i="6"/>
  <c r="D285" i="6"/>
  <c r="D297" i="6"/>
  <c r="D281" i="6"/>
  <c r="D280" i="6"/>
  <c r="D296" i="6"/>
  <c r="D351" i="6"/>
  <c r="D275" i="6"/>
  <c r="D272" i="6"/>
  <c r="D290" i="6"/>
  <c r="D271" i="6"/>
  <c r="D299" i="6"/>
  <c r="D279" i="6"/>
  <c r="D287" i="6"/>
  <c r="D352" i="6"/>
  <c r="D353" i="6"/>
  <c r="D286" i="6"/>
  <c r="D354" i="6"/>
  <c r="D355" i="6"/>
  <c r="D356" i="6"/>
  <c r="D357" i="6"/>
  <c r="D190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J19" i="5"/>
  <c r="J42" i="5"/>
  <c r="J286" i="5"/>
  <c r="J287" i="5"/>
  <c r="J288" i="5"/>
  <c r="J289" i="5"/>
  <c r="J290" i="5"/>
  <c r="J291" i="5"/>
  <c r="J292" i="5"/>
  <c r="J293" i="5"/>
  <c r="J294" i="5"/>
  <c r="J295" i="5"/>
  <c r="J296" i="5"/>
  <c r="J197" i="5"/>
  <c r="J297" i="5"/>
  <c r="J17" i="5"/>
  <c r="J298" i="5"/>
  <c r="J20" i="5"/>
  <c r="J18" i="5"/>
  <c r="J299" i="5"/>
  <c r="J300" i="5"/>
  <c r="J301" i="5"/>
  <c r="J302" i="5"/>
  <c r="J303" i="5"/>
  <c r="J116" i="5"/>
  <c r="J115" i="5"/>
  <c r="J121" i="5"/>
  <c r="J120" i="5"/>
  <c r="J119" i="5"/>
  <c r="J118" i="5"/>
  <c r="J117" i="5"/>
  <c r="J114" i="5"/>
  <c r="J113" i="5"/>
  <c r="J127" i="5"/>
  <c r="J183" i="5"/>
  <c r="J172" i="5"/>
  <c r="J126" i="5"/>
  <c r="J182" i="5"/>
  <c r="J170" i="5"/>
  <c r="J171" i="5"/>
  <c r="J181" i="5"/>
  <c r="J180" i="5"/>
  <c r="J190" i="5"/>
  <c r="J169" i="5"/>
  <c r="J168" i="5"/>
  <c r="J189" i="5"/>
  <c r="J51" i="5"/>
  <c r="J304" i="5"/>
  <c r="J14" i="5"/>
  <c r="J134" i="5"/>
  <c r="J122" i="5"/>
  <c r="J132" i="5"/>
  <c r="J9" i="5"/>
  <c r="J10" i="5"/>
  <c r="J49" i="5"/>
  <c r="J52" i="5"/>
  <c r="J50" i="5"/>
  <c r="J48" i="5"/>
  <c r="J47" i="5"/>
  <c r="J139" i="5"/>
  <c r="J140" i="5"/>
  <c r="J158" i="5"/>
  <c r="J305" i="5"/>
  <c r="J147" i="5"/>
  <c r="J306" i="5"/>
  <c r="J307" i="5"/>
  <c r="J308" i="5"/>
  <c r="J146" i="5"/>
  <c r="J309" i="5"/>
  <c r="J310" i="5"/>
  <c r="J159" i="5"/>
  <c r="J311" i="5"/>
  <c r="J153" i="5"/>
  <c r="J152" i="5"/>
  <c r="J125" i="5"/>
  <c r="J131" i="5"/>
  <c r="J138" i="5"/>
  <c r="J142" i="5"/>
  <c r="J149" i="5"/>
  <c r="J141" i="5"/>
  <c r="J137" i="5"/>
  <c r="J143" i="5"/>
  <c r="J148" i="5"/>
  <c r="J245" i="5"/>
  <c r="J244" i="5"/>
  <c r="J312" i="5"/>
  <c r="J110" i="5"/>
  <c r="J101" i="5"/>
  <c r="J111" i="5"/>
  <c r="J107" i="5"/>
  <c r="J99" i="5"/>
  <c r="J100" i="5"/>
  <c r="J109" i="5"/>
  <c r="J108" i="5"/>
  <c r="J102" i="5"/>
  <c r="J88" i="5"/>
  <c r="J97" i="5"/>
  <c r="J104" i="5"/>
  <c r="J103" i="5"/>
  <c r="J89" i="5"/>
  <c r="J91" i="5"/>
  <c r="J92" i="5"/>
  <c r="J87" i="5"/>
  <c r="J98" i="5"/>
  <c r="J106" i="5"/>
  <c r="J90" i="5"/>
  <c r="J86" i="5"/>
  <c r="J95" i="5"/>
  <c r="J96" i="5"/>
  <c r="J85" i="5"/>
  <c r="J105" i="5"/>
  <c r="J94" i="5"/>
  <c r="J157" i="5"/>
  <c r="J161" i="5"/>
  <c r="J145" i="5"/>
  <c r="J155" i="5"/>
  <c r="J151" i="5"/>
  <c r="J156" i="5"/>
  <c r="J160" i="5"/>
  <c r="J144" i="5"/>
  <c r="J154" i="5"/>
  <c r="J150" i="5"/>
  <c r="J313" i="5"/>
  <c r="J314" i="5"/>
  <c r="J315" i="5"/>
  <c r="J316" i="5"/>
  <c r="J317" i="5"/>
  <c r="J318" i="5"/>
  <c r="J319" i="5"/>
  <c r="J320" i="5"/>
  <c r="J93" i="5"/>
  <c r="J212" i="5"/>
  <c r="J179" i="5"/>
  <c r="J188" i="5"/>
  <c r="J187" i="5"/>
  <c r="J178" i="5"/>
  <c r="J321" i="5"/>
  <c r="J186" i="5"/>
  <c r="J177" i="5"/>
  <c r="J184" i="5"/>
  <c r="J185" i="5"/>
  <c r="J176" i="5"/>
  <c r="J194" i="5"/>
  <c r="J195" i="5"/>
  <c r="J175" i="5"/>
  <c r="J193" i="5"/>
  <c r="J167" i="5"/>
  <c r="J174" i="5"/>
  <c r="J192" i="5"/>
  <c r="J191" i="5"/>
  <c r="J3" i="5"/>
  <c r="J173" i="5"/>
  <c r="J254" i="5"/>
  <c r="J255" i="5"/>
  <c r="J133" i="5"/>
  <c r="J13" i="5"/>
  <c r="J136" i="5"/>
  <c r="J130" i="5"/>
  <c r="J124" i="5"/>
  <c r="J135" i="5"/>
  <c r="J129" i="5"/>
  <c r="J12" i="5"/>
  <c r="J123" i="5"/>
  <c r="J15" i="5"/>
  <c r="J128" i="5"/>
  <c r="J11" i="5"/>
  <c r="J322" i="5"/>
  <c r="J323" i="5"/>
  <c r="J56" i="5"/>
  <c r="J60" i="5"/>
  <c r="J59" i="5"/>
  <c r="J55" i="5"/>
  <c r="J76" i="5"/>
  <c r="J75" i="5"/>
  <c r="J74" i="5"/>
  <c r="J73" i="5"/>
  <c r="J72" i="5"/>
  <c r="J71" i="5"/>
  <c r="J70" i="5"/>
  <c r="J78" i="5"/>
  <c r="J77" i="5"/>
  <c r="J57" i="5"/>
  <c r="J58" i="5"/>
  <c r="J54" i="5"/>
  <c r="J53" i="5"/>
  <c r="J81" i="5"/>
  <c r="J63" i="5"/>
  <c r="J68" i="5"/>
  <c r="J8" i="5"/>
  <c r="J41" i="5"/>
  <c r="J39" i="5"/>
  <c r="J38" i="5"/>
  <c r="J82" i="5"/>
  <c r="J69" i="5"/>
  <c r="J165" i="5"/>
  <c r="J40" i="5"/>
  <c r="J162" i="5"/>
  <c r="J164" i="5"/>
  <c r="J79" i="5"/>
  <c r="J64" i="5"/>
  <c r="J61" i="5"/>
  <c r="J83" i="5"/>
  <c r="J32" i="5"/>
  <c r="J23" i="5"/>
  <c r="J31" i="5"/>
  <c r="J22" i="5"/>
  <c r="J21" i="5"/>
  <c r="J163" i="5"/>
  <c r="J324" i="5"/>
  <c r="J325" i="5"/>
  <c r="J4" i="5"/>
  <c r="J84" i="5"/>
  <c r="J6" i="5"/>
  <c r="J65" i="5"/>
  <c r="J62" i="5"/>
  <c r="J80" i="5"/>
  <c r="J326" i="5"/>
  <c r="J327" i="5"/>
  <c r="J5" i="5"/>
  <c r="J34" i="5"/>
  <c r="J33" i="5"/>
  <c r="J30" i="5"/>
  <c r="J36" i="5"/>
  <c r="J37" i="5"/>
  <c r="J35" i="5"/>
  <c r="J27" i="5"/>
  <c r="J29" i="5"/>
  <c r="J28" i="5"/>
  <c r="J26" i="5"/>
  <c r="J25" i="5"/>
  <c r="J67" i="5"/>
  <c r="J24" i="5"/>
  <c r="J211" i="5"/>
  <c r="J201" i="5"/>
  <c r="J7" i="5"/>
  <c r="J200" i="5"/>
  <c r="J66" i="5"/>
  <c r="J213" i="5"/>
  <c r="J224" i="5"/>
  <c r="J216" i="5"/>
  <c r="J223" i="5"/>
  <c r="J215" i="5"/>
  <c r="J222" i="5"/>
  <c r="J217" i="5"/>
  <c r="J243" i="5"/>
  <c r="J239" i="5"/>
  <c r="J226" i="5"/>
  <c r="J242" i="5"/>
  <c r="J225" i="5"/>
  <c r="J238" i="5"/>
  <c r="J237" i="5"/>
  <c r="J235" i="5"/>
  <c r="J236" i="5"/>
  <c r="J214" i="5"/>
  <c r="J221" i="5"/>
  <c r="J233" i="5"/>
  <c r="J234" i="5"/>
  <c r="J227" i="5"/>
  <c r="J228" i="5"/>
  <c r="J219" i="5"/>
  <c r="J206" i="5"/>
  <c r="J229" i="5"/>
  <c r="J253" i="5"/>
  <c r="J230" i="5"/>
  <c r="J328" i="5"/>
  <c r="J250" i="5"/>
  <c r="J282" i="5"/>
  <c r="J273" i="5"/>
  <c r="J284" i="5"/>
  <c r="J329" i="5"/>
  <c r="J330" i="5"/>
  <c r="J285" i="5"/>
  <c r="J264" i="5"/>
  <c r="J265" i="5"/>
  <c r="J281" i="5"/>
  <c r="J266" i="5"/>
  <c r="J267" i="5"/>
  <c r="J280" i="5"/>
  <c r="J263" i="5"/>
  <c r="J262" i="5"/>
  <c r="J279" i="5"/>
  <c r="J331" i="5"/>
  <c r="J260" i="5"/>
  <c r="J257" i="5"/>
  <c r="J272" i="5"/>
  <c r="J332" i="5"/>
  <c r="J333" i="5"/>
  <c r="J43" i="5"/>
  <c r="J44" i="5"/>
  <c r="J334" i="5"/>
  <c r="J335" i="5"/>
  <c r="J336" i="5"/>
  <c r="J337" i="5"/>
  <c r="J338" i="5"/>
  <c r="J339" i="5"/>
  <c r="J340" i="5"/>
  <c r="J341" i="5"/>
  <c r="J342" i="5"/>
  <c r="J343" i="5"/>
  <c r="J112" i="5"/>
  <c r="J166" i="5"/>
  <c r="J251" i="5"/>
  <c r="J240" i="5"/>
  <c r="J241" i="5"/>
  <c r="J249" i="5"/>
  <c r="J218" i="5"/>
  <c r="J252" i="5"/>
  <c r="J198" i="5"/>
  <c r="J220" i="5"/>
  <c r="J199" i="5"/>
  <c r="J231" i="5"/>
  <c r="J232" i="5"/>
  <c r="J248" i="5"/>
  <c r="J247" i="5"/>
  <c r="J278" i="5"/>
  <c r="J277" i="5"/>
  <c r="J45" i="5"/>
  <c r="J203" i="5"/>
  <c r="J246" i="5"/>
  <c r="J202" i="5"/>
  <c r="J46" i="5"/>
  <c r="J205" i="5"/>
  <c r="J209" i="5"/>
  <c r="J204" i="5"/>
  <c r="J16" i="5"/>
  <c r="J210" i="5"/>
  <c r="J208" i="5"/>
  <c r="J207" i="5"/>
  <c r="J276" i="5"/>
  <c r="J259" i="5"/>
  <c r="J275" i="5"/>
  <c r="J271" i="5"/>
  <c r="J258" i="5"/>
  <c r="J270" i="5"/>
  <c r="J274" i="5"/>
  <c r="J256" i="5"/>
  <c r="J283" i="5"/>
  <c r="J261" i="5"/>
  <c r="J269" i="5"/>
  <c r="J344" i="5"/>
  <c r="J345" i="5"/>
  <c r="J268" i="5"/>
  <c r="J346" i="5"/>
  <c r="J347" i="5"/>
  <c r="J348" i="5"/>
  <c r="J349" i="5"/>
  <c r="J196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2" i="1"/>
</calcChain>
</file>

<file path=xl/sharedStrings.xml><?xml version="1.0" encoding="utf-8"?>
<sst xmlns="http://schemas.openxmlformats.org/spreadsheetml/2006/main" count="9358" uniqueCount="1819">
  <si>
    <t>Name</t>
  </si>
  <si>
    <t>Measure</t>
  </si>
  <si>
    <t>Tags</t>
  </si>
  <si>
    <t>Tags old</t>
  </si>
  <si>
    <t>change</t>
  </si>
  <si>
    <t>TagNumber</t>
  </si>
  <si>
    <t>German name</t>
  </si>
  <si>
    <t>DO THESE Exist in IDI?</t>
  </si>
  <si>
    <t>MBS Current reel ID</t>
  </si>
  <si>
    <t>QO-REEL-ID-CUR-CALC</t>
  </si>
  <si>
    <t>12576</t>
  </si>
  <si>
    <t xml:space="preserve">Virtual Online JumboID MachineID + Year(2digits) + QLS-REEL-ID-CUR </t>
  </si>
  <si>
    <t>AB Grade ID</t>
  </si>
  <si>
    <t>GRADE_NAME</t>
  </si>
  <si>
    <t>14082</t>
  </si>
  <si>
    <t xml:space="preserve">Sortenname [0..9999999 ] </t>
  </si>
  <si>
    <t>MBS SCT CD</t>
  </si>
  <si>
    <t>QO_SCT_CD</t>
  </si>
  <si>
    <t>18118</t>
  </si>
  <si>
    <t>QO_SCT CD SCT in Querrichtung SCT CD :38</t>
  </si>
  <si>
    <t>MBS SCT MD</t>
  </si>
  <si>
    <t>QO_SCT_MD</t>
  </si>
  <si>
    <t>18119</t>
  </si>
  <si>
    <t>QO_SCT MD SCT in Maschinenrichtung SCT MD :39</t>
  </si>
  <si>
    <t>MBS Burst</t>
  </si>
  <si>
    <t>QO_BERSTWIDERSTAND</t>
  </si>
  <si>
    <t>18078</t>
  </si>
  <si>
    <t>QO_Berstwiderstand Berstwiderstand Berstwiderstand :6</t>
  </si>
  <si>
    <t>MBS CMT30</t>
  </si>
  <si>
    <t>QO_CMT</t>
  </si>
  <si>
    <t>18081</t>
  </si>
  <si>
    <t>QO_CMT CMT Presse CMT :10</t>
  </si>
  <si>
    <t>Stock pump power</t>
  </si>
  <si>
    <t>A</t>
  </si>
  <si>
    <t>2-008-P041_10-XI</t>
  </si>
  <si>
    <t>13718</t>
  </si>
  <si>
    <t>Strom Stoffauflaufpumpe [0..1260 A]</t>
  </si>
  <si>
    <t>O=Alles OK sonst Abrissort li:PM1-OPC-DATA.F:break_location</t>
  </si>
  <si>
    <t>PM1_ABRISS-ERKENNUNG</t>
  </si>
  <si>
    <t>8312</t>
  </si>
  <si>
    <t>Speed</t>
  </si>
  <si>
    <t>m/min</t>
  </si>
  <si>
    <t>2-008-VPOPE-AR0</t>
  </si>
  <si>
    <t>14345</t>
  </si>
  <si>
    <t xml:space="preserve">Geschwindigkeit Poperoller_Abriss_0 [0..1500 m/min] </t>
  </si>
  <si>
    <t>Current reel weight</t>
  </si>
  <si>
    <t>Kg</t>
  </si>
  <si>
    <t>QO-REEL-WEIGHT-CUR</t>
  </si>
  <si>
    <t>36</t>
  </si>
  <si>
    <t>Current reel width</t>
  </si>
  <si>
    <t>CM</t>
  </si>
  <si>
    <t>QLS-REEL-WIDTH-CUR</t>
  </si>
  <si>
    <t>37</t>
  </si>
  <si>
    <t>Current reel length</t>
  </si>
  <si>
    <t>M</t>
  </si>
  <si>
    <t>QO-REEL-LENGTH-CUR</t>
  </si>
  <si>
    <t>28</t>
  </si>
  <si>
    <t>Production Rate [T/h]</t>
  </si>
  <si>
    <t>t/h</t>
  </si>
  <si>
    <t>PRODUCTION-RATE</t>
  </si>
  <si>
    <t>10438</t>
  </si>
  <si>
    <t>Produktions Rate 2        [0..90 t/h]</t>
  </si>
  <si>
    <t>Current basis weight</t>
  </si>
  <si>
    <t>G/M2</t>
  </si>
  <si>
    <t>QMS11_SCN1QM1-X</t>
  </si>
  <si>
    <t>11237</t>
  </si>
  <si>
    <t>IST Flächengewicht g/m2</t>
  </si>
  <si>
    <t>Current reel moisture average(reel)</t>
  </si>
  <si>
    <t>QLS-REEL-MOISTURE1-CUR</t>
  </si>
  <si>
    <t>40</t>
  </si>
  <si>
    <t>Current reel moisture average(Aufrollung)</t>
  </si>
  <si>
    <t>Actual moisture</t>
  </si>
  <si>
    <t>PCT</t>
  </si>
  <si>
    <t>QMS11_MIC_MSTSCN1-X1</t>
  </si>
  <si>
    <t>11385</t>
  </si>
  <si>
    <t>Feuchte NTP Poperoller 0-15 %</t>
  </si>
  <si>
    <t>Current reel dry average</t>
  </si>
  <si>
    <t>QLS-REEL-DRY-CUR</t>
  </si>
  <si>
    <t>42</t>
  </si>
  <si>
    <t>BSW 2 sigma</t>
  </si>
  <si>
    <t>PM1-BW1-RL:GFLT.SIG</t>
  </si>
  <si>
    <t>18254</t>
  </si>
  <si>
    <t>FLG Messung gefiltertes Profil 2 sigma [0..20 ]</t>
  </si>
  <si>
    <t>Mois Size Press 2 sigma</t>
  </si>
  <si>
    <t>PM1-PM1-SP:GFLT.SIG</t>
  </si>
  <si>
    <t>18291</t>
  </si>
  <si>
    <t>Feuchtemessung Sizer gefiltertes Profil 2 sigma [0..20 ]</t>
  </si>
  <si>
    <t>Mois 2 sigma</t>
  </si>
  <si>
    <t>PM1-MO1-RL:GFLT.SIG</t>
  </si>
  <si>
    <t>18273</t>
  </si>
  <si>
    <t>Feuchtemessung Pope gefiltertes Profil 2 sigma [0..20 ]</t>
  </si>
  <si>
    <t>Contact pressure reel holders</t>
  </si>
  <si>
    <t>KN/M</t>
  </si>
  <si>
    <t>2-060-YP045-X</t>
  </si>
  <si>
    <t>9875</t>
  </si>
  <si>
    <t>2-060-YP045    Anpreßdr Tambhalter :  Messwert</t>
  </si>
  <si>
    <t>Reel discharge pressure</t>
  </si>
  <si>
    <t>BAR</t>
  </si>
  <si>
    <t>2-060-YP048-X</t>
  </si>
  <si>
    <t>9876</t>
  </si>
  <si>
    <t>2-060-YP048    Tambourentlastung :  Messwert</t>
  </si>
  <si>
    <t>Draw meaurement pope reel FS</t>
  </si>
  <si>
    <t>N/m</t>
  </si>
  <si>
    <t>2-060-NI001-X</t>
  </si>
  <si>
    <t>10289</t>
  </si>
  <si>
    <t>Zugmessung FS Poperoller : Messwert [0..1000 N/m]</t>
  </si>
  <si>
    <t>Draw measurement pope reel DS</t>
  </si>
  <si>
    <t>2-060-NI002-X</t>
  </si>
  <si>
    <t>10290</t>
  </si>
  <si>
    <t>Zugmessung TS Poperoller : Messwert [0..1000 N/m]</t>
  </si>
  <si>
    <t>Total draw measurement pope reel</t>
  </si>
  <si>
    <t>2-060-NI003-X</t>
  </si>
  <si>
    <t>10291</t>
  </si>
  <si>
    <t>Zugmessung gesamt Poperoller : Messwert [0..1000 N/m]</t>
  </si>
  <si>
    <t>Contact pressure support drum OS</t>
  </si>
  <si>
    <t>KN</t>
  </si>
  <si>
    <t>2-060-WC050_01-X</t>
  </si>
  <si>
    <t>Contact pressure support drum DS</t>
  </si>
  <si>
    <t>2-060-WC050_02-X</t>
  </si>
  <si>
    <t>Contact pressure secondary arm OS</t>
  </si>
  <si>
    <t>2-060-YP052_01-X</t>
  </si>
  <si>
    <t>9877</t>
  </si>
  <si>
    <t>2-060-YP052.01    Anpreßdr Sek-Arm FS :  Messwert</t>
  </si>
  <si>
    <t>Contact pressure secondary arm DS</t>
  </si>
  <si>
    <t>2-060-YP052_02-X</t>
  </si>
  <si>
    <t>9878</t>
  </si>
  <si>
    <t>2-060-YP052.02    Anpreßdr Sek-Arm TS :  Messwert</t>
  </si>
  <si>
    <t xml:space="preserve">Retentionsmittel Menge l/h [0..9000 l/h] </t>
  </si>
  <si>
    <t>2-008-FC083.01-X</t>
  </si>
  <si>
    <t>10035</t>
  </si>
  <si>
    <t>Bentonitmenge z. Mischrohr [-10..9000 l/h]</t>
  </si>
  <si>
    <t>2-008-FC080_10_1-X</t>
  </si>
  <si>
    <t>13199</t>
  </si>
  <si>
    <t>Bentonitmenge z. Siebwasserturm [-10..9000 l/h]</t>
  </si>
  <si>
    <t>2-008-FC080_10_2-X</t>
  </si>
  <si>
    <t>13216</t>
  </si>
  <si>
    <t>Sollwert Fixiermittelmenge [-1..50 l/h]</t>
  </si>
  <si>
    <t>2-008-FIXIER-SOLL</t>
  </si>
  <si>
    <t xml:space="preserve">Fixiermittelmenge Trockenausschuss [0..100 l/h] </t>
  </si>
  <si>
    <t>2-008-FC080_02_3-X</t>
  </si>
  <si>
    <t>14084</t>
  </si>
  <si>
    <t>Fixiermittelmenge Trockenausschuss [0..100 l/h]</t>
  </si>
  <si>
    <t>Mengenregelung Entlüfter : MESSWERT      [0..40 l/h]</t>
  </si>
  <si>
    <t>2-008-FC086_01-X</t>
  </si>
  <si>
    <t>15449</t>
  </si>
  <si>
    <t>Starch uptake by paper Top Roll [g/m2]</t>
  </si>
  <si>
    <t>2-033-FI200-G_M2</t>
  </si>
  <si>
    <t>13221</t>
  </si>
  <si>
    <t>Stärkeauftrag bewegliche Walze [g / m²] [0..50 g/m²]</t>
  </si>
  <si>
    <t>Starch uptake by paper Bottom Roll [g/m2]</t>
  </si>
  <si>
    <t>2-033-FI100-G_M2</t>
  </si>
  <si>
    <t>13220</t>
  </si>
  <si>
    <t>Stärkeauftrag feste Walze [g / m²] [0..50 g/m²]</t>
  </si>
  <si>
    <t>Paper break status li:PM1-OPC-DATA.F:rtup_pls (0 = false)</t>
  </si>
  <si>
    <t>QLS-PM1-BREAK-STATUS2</t>
  </si>
  <si>
    <t>8171</t>
  </si>
  <si>
    <t>Entschäumermenge FW [-1..60 l/h]</t>
  </si>
  <si>
    <t>2-008-FI080_03_3-X</t>
  </si>
  <si>
    <t>13236</t>
  </si>
  <si>
    <t>Entschäumermenge BW [-2..60 l/h]</t>
  </si>
  <si>
    <t>2-008-FI080_03_4-X</t>
  </si>
  <si>
    <t>13237</t>
  </si>
  <si>
    <t>Mengenistwert Leimungsmittel BW : MESSWERT     [0..500 l/h]</t>
  </si>
  <si>
    <t>2-008-FC080_04_4-X</t>
  </si>
  <si>
    <t>15436</t>
  </si>
  <si>
    <t>Menge Leimungsmittel : MESSWERT      [0..500 l/h]</t>
  </si>
  <si>
    <t>2-008-FC080_04_2-X</t>
  </si>
  <si>
    <t>15432</t>
  </si>
  <si>
    <t>Trockenverfestigermenge bewegliche Walze [0..2500 l/h]</t>
  </si>
  <si>
    <t>2-008-FC080_01_2-X</t>
  </si>
  <si>
    <t>13773</t>
  </si>
  <si>
    <t>Trockenverfestigermenge feste Walze [0..2500 l/h]</t>
  </si>
  <si>
    <t>2-008-FC080_01_1-X</t>
  </si>
  <si>
    <t>13771</t>
  </si>
  <si>
    <t>Purate Laufrückmeldung : MESSWERT      [0..1 ]</t>
  </si>
  <si>
    <t>2-008-UZ080_11-PRM-X</t>
  </si>
  <si>
    <t>SP1: 1-000-FC028_01    NaOH-Dosierung Pulper :  MESSWERT</t>
  </si>
  <si>
    <t>1-000-FC028_01-X</t>
  </si>
  <si>
    <t>13231</t>
  </si>
  <si>
    <t>SP1: 1-000-FC028_02    NaOH-Dosierung Kurzfaser-SF :  MESSWE</t>
  </si>
  <si>
    <t>1-000-FC028_02-X</t>
  </si>
  <si>
    <t>13232</t>
  </si>
  <si>
    <t>SP1: 1-000-FC028_02    NaOH-Dosierung Kurzfaser-SF :  MESSWERT</t>
  </si>
  <si>
    <t>SP1: 1-000-FC028_03    NaOH-Dosierung Langfaser-SF :  MESSWE</t>
  </si>
  <si>
    <t>1-000-FC028_03-X</t>
  </si>
  <si>
    <t>13233</t>
  </si>
  <si>
    <t>SP1: 1-000-FC028_03    NaOH-Dosierung Langfaser-SF :  MESSWERT</t>
  </si>
  <si>
    <t>CO2-Dosierung Deculator 1 [0..60 kg/h]</t>
  </si>
  <si>
    <t>2-008-QC041_01-X</t>
  </si>
  <si>
    <t>11331</t>
  </si>
  <si>
    <t>CO2-Dosierung Deculator 2 [0..60 kg/h]</t>
  </si>
  <si>
    <t>2-008-QC041_20-X</t>
  </si>
  <si>
    <t>11332</t>
  </si>
  <si>
    <t>CO2-Dosierung Bio-Rückwasser [0..60 kg/h]</t>
  </si>
  <si>
    <t>2-008-QC031_01-X</t>
  </si>
  <si>
    <t>Leistung Zelle 13 APA [0..100mW]</t>
  </si>
  <si>
    <t>MW</t>
  </si>
  <si>
    <t>2-000-2A1J13-P</t>
  </si>
  <si>
    <t>GUD\2AJ15CU001/MELD.QPV</t>
  </si>
  <si>
    <t>Leistung Zelle 15 APA [0..100 MW]</t>
  </si>
  <si>
    <t>2-000-2A1J15-P</t>
  </si>
  <si>
    <t>GUD\2AJ17CU001/MELD.QPV</t>
  </si>
  <si>
    <t>Leistung Zelle 17 APA [0..100 MW]</t>
  </si>
  <si>
    <t>2-000-2A1J17-P</t>
  </si>
  <si>
    <t>GUD\2AJ16CU001/MELD.QPV</t>
  </si>
  <si>
    <t>Leistung Zelle 16 APA [0..100 MW]</t>
  </si>
  <si>
    <t>2-000-2A1J16-P</t>
  </si>
  <si>
    <t>GUD\2AJ20CU001/MELD.QPV</t>
  </si>
  <si>
    <t>Leistung Zelle 20 PM-Antrieb [0..100 MW]</t>
  </si>
  <si>
    <t>2-000-2A1J20-P</t>
  </si>
  <si>
    <t>GUD\2AJ19CU001/MELD.QPV</t>
  </si>
  <si>
    <t>Leistung Zelle 19 PM-Antrieb [0..100 MW]</t>
  </si>
  <si>
    <t>2-000-2A1J19-P</t>
  </si>
  <si>
    <t>GUD\2AJ18CU001/MELD.QPV</t>
  </si>
  <si>
    <t>Leistung Zelle 18 PM-Antrieb [0..100 MW]</t>
  </si>
  <si>
    <t>2-000-2A1J18-P</t>
  </si>
  <si>
    <t>GUD\2AJ25CU001/MELD.QPV</t>
  </si>
  <si>
    <t>Leistung Zelle 25 MCC Raum [0..100 MW]</t>
  </si>
  <si>
    <t>2-000-2A1J25-P</t>
  </si>
  <si>
    <t>GUD\2AJ28CU001/MELD.QPV</t>
  </si>
  <si>
    <t>Leistung Zelle 28 MCC Raum [0..100 MW]</t>
  </si>
  <si>
    <t>2-000-2A1J28-P</t>
  </si>
  <si>
    <t>GUD\2AJ27CU001/MELD.QPV</t>
  </si>
  <si>
    <t>Leistung Zelle 27 MCC Raum [0..100 MW]</t>
  </si>
  <si>
    <t>2-000-2A1J27-P</t>
  </si>
  <si>
    <t>GUD\2AJ31CU001/MELD.QPV</t>
  </si>
  <si>
    <t>Leistung Zelle 26 MCC Raum [0..100 MW]</t>
  </si>
  <si>
    <t>2-000-2A1J26-P</t>
  </si>
  <si>
    <t>GUD\2AJ26CU001/MELD.QPV</t>
  </si>
  <si>
    <t>Leistung Zelle 24 MCC Raum [0..100 MW]</t>
  </si>
  <si>
    <t>2-000-2A1J24-P</t>
  </si>
  <si>
    <t>GUD\2AJ24CU001/MELD.QPV</t>
  </si>
  <si>
    <t>Leistung Zelle 23 MCC Raum [0..100 MW]</t>
  </si>
  <si>
    <t>2-000-2A1J23-P</t>
  </si>
  <si>
    <t>GUD\2AJ23CU001/MELD.QPV</t>
  </si>
  <si>
    <t>VariSTEP div. Hauben+Lueftung Ventilatoren</t>
  </si>
  <si>
    <t>2-000-2A1J21-P</t>
  </si>
  <si>
    <t>10777</t>
  </si>
  <si>
    <t>VariSTEP div. Hauben+Lueftung Ventilatoren [-1..10 MW]</t>
  </si>
  <si>
    <t>Leistung Zelle 22 20kV Raum [0..100 MW]</t>
  </si>
  <si>
    <t>2-000-2A1J22-P</t>
  </si>
  <si>
    <t>GUD\2AJ22CU001/MELD.QPV</t>
  </si>
  <si>
    <t>10778</t>
  </si>
  <si>
    <t xml:space="preserve">Leistung Zelle 33 RSM 2 [0..100 MW] </t>
  </si>
  <si>
    <t>2-000-2A1J33-P</t>
  </si>
  <si>
    <t>GUD\2AJ33CU001/MELD.QPV</t>
  </si>
  <si>
    <t>10779</t>
  </si>
  <si>
    <t xml:space="preserve">Leistung Zelle 34 RSM2 Hilfsantriebe [0..100 MW] </t>
  </si>
  <si>
    <t>2-000-2A1J34-P</t>
  </si>
  <si>
    <t>GUD\2AJ34CU001/MELD.QPV</t>
  </si>
  <si>
    <t>10780</t>
  </si>
  <si>
    <t>Steam energy from power plant to paper plant</t>
  </si>
  <si>
    <t>GMC_A4_G1LBE20CF702_WF</t>
  </si>
  <si>
    <t>13957</t>
  </si>
  <si>
    <t>WF MD-Dampf GUD-PF [MW]</t>
  </si>
  <si>
    <t>Condensate energy from paper plant to power plant</t>
  </si>
  <si>
    <t>GMC_A1_G1LDA10CF701_WF</t>
  </si>
  <si>
    <t>13939</t>
  </si>
  <si>
    <t>WF Rohkondensatrück. PF-GUD [MW]</t>
  </si>
  <si>
    <t>AD6 speed</t>
  </si>
  <si>
    <t>2-604-UZ001-O</t>
  </si>
  <si>
    <t>13209</t>
  </si>
  <si>
    <t xml:space="preserve">Geschwindigkeit TG 6 [0..1500 m/min] </t>
  </si>
  <si>
    <t>Speed Size Press</t>
  </si>
  <si>
    <t>2-033-UZ001-MD_SPEED-X</t>
  </si>
  <si>
    <t>9792</t>
  </si>
  <si>
    <t>2-003-UZ001    Speedsizer :  Istwert Geschwindigkeit</t>
  </si>
  <si>
    <t>AD7 speed bottom</t>
  </si>
  <si>
    <t>2-704-UZ001-U</t>
  </si>
  <si>
    <t>13211</t>
  </si>
  <si>
    <t xml:space="preserve">Geschwindigkeit TG 7 unten [0..1500 m/min] </t>
  </si>
  <si>
    <t>DG4 Temperature Inlet Air</t>
  </si>
  <si>
    <t>C</t>
  </si>
  <si>
    <t>2-044-TC413-X</t>
  </si>
  <si>
    <t>9858</t>
  </si>
  <si>
    <t>2-044-TC413    Temp. Zuluft TP4 :  Messwert</t>
  </si>
  <si>
    <t>Cylinder 36 steam pressure</t>
  </si>
  <si>
    <t>bar</t>
  </si>
  <si>
    <t>2-009-PC204_01-X</t>
  </si>
  <si>
    <t>10147</t>
  </si>
  <si>
    <t>Dampfdruck Zylinder 36 : Messwert [0..6 bar]</t>
  </si>
  <si>
    <t>Cylinder 36 differential pressure</t>
  </si>
  <si>
    <t>2-009-PD204_01-X</t>
  </si>
  <si>
    <t>10194</t>
  </si>
  <si>
    <t>Differenzdruck Zylinder 36 : Messwert [0..1 bar]</t>
  </si>
  <si>
    <t>DG5 Temperature Inlet Air</t>
  </si>
  <si>
    <t>2-044-TC513-X</t>
  </si>
  <si>
    <t>9861</t>
  </si>
  <si>
    <t>2-044-TC513    Temp. Zuluft TP5 :  Messwert</t>
  </si>
  <si>
    <t>Cylinder 37 steam pressure</t>
  </si>
  <si>
    <t>2-009-PC204_02-X</t>
  </si>
  <si>
    <t>10150</t>
  </si>
  <si>
    <t>Dampfdruck Zylinder 37 : Messwert [0..6 bar]</t>
  </si>
  <si>
    <t>Cylinder 38 differential pressure</t>
  </si>
  <si>
    <t>2-009-PD204_03-X</t>
  </si>
  <si>
    <t>10200</t>
  </si>
  <si>
    <t>Differenzdruck Zylinder 38 : Messwert [0..1 bar]</t>
  </si>
  <si>
    <t>Cylinder 37 differential pressure</t>
  </si>
  <si>
    <t>2-009-PD204_02-X</t>
  </si>
  <si>
    <t>10197</t>
  </si>
  <si>
    <t>Differenzdruck Zylinder 37 : Messwert [0..1 bar]</t>
  </si>
  <si>
    <t>Cylinder 38 steam pressure</t>
  </si>
  <si>
    <t>2-009-PC204_03-X</t>
  </si>
  <si>
    <t>10153</t>
  </si>
  <si>
    <t>Dampfdruck Zylinder 38 : Messwert [0..6 bar]</t>
  </si>
  <si>
    <t>Cylinder 39 steam pressure</t>
  </si>
  <si>
    <t>2-009-PC204_04-X</t>
  </si>
  <si>
    <t>10156</t>
  </si>
  <si>
    <t>Dampfdruck Zylinder 39 : Messwert [0..6 bar]</t>
  </si>
  <si>
    <t>Cylinder 36-39 steam pressure</t>
  </si>
  <si>
    <t>2-009-PC200_04-X</t>
  </si>
  <si>
    <t>10109</t>
  </si>
  <si>
    <t>Dampfdruck Zylinder 36-39 : Messwert [0..10 bar]</t>
  </si>
  <si>
    <t>Cylinder 39 differential pressure</t>
  </si>
  <si>
    <t>2-009-PD204_04-X</t>
  </si>
  <si>
    <t>10203</t>
  </si>
  <si>
    <t>Differenzdruck Zylinder 39 : Messwert [0..1 bar]</t>
  </si>
  <si>
    <t>Cylinder 40-53 differential pressure</t>
  </si>
  <si>
    <t>2-009-PD205_01-X</t>
  </si>
  <si>
    <t>10210</t>
  </si>
  <si>
    <t>Differenzdruck Zylinder 40-53 : Messwert [0..1 bar]</t>
  </si>
  <si>
    <t>Cylinder 40-53 steam pressure</t>
  </si>
  <si>
    <t>2-009-PC200_05-X</t>
  </si>
  <si>
    <t>10112</t>
  </si>
  <si>
    <t>Dampfdruck Zylinder 40-53 : Messwert [0..9 BAR]</t>
  </si>
  <si>
    <t>Web tension AD6</t>
  </si>
  <si>
    <t>2-604-UZ001-D9</t>
  </si>
  <si>
    <t>14248</t>
  </si>
  <si>
    <t xml:space="preserve">Bahnzug 6.TG [0..1000 N/m] </t>
  </si>
  <si>
    <t>Steam flow to AfterDryers</t>
  </si>
  <si>
    <t>TONNE/HR</t>
  </si>
  <si>
    <t>QMS11_2-009-FI200.01.2-X</t>
  </si>
  <si>
    <t>8491</t>
  </si>
  <si>
    <t xml:space="preserve">Dampf NTP : Messwert [0..35 t/h] </t>
  </si>
  <si>
    <t>DG4 Moisture content Outlet Air</t>
  </si>
  <si>
    <t>G/KG</t>
  </si>
  <si>
    <t>QMS11_2-044-MC433-X</t>
  </si>
  <si>
    <t>12560</t>
  </si>
  <si>
    <t xml:space="preserve">Feuchte Abluft TP4 : Messwert [0..200 g/kg d.a.] </t>
  </si>
  <si>
    <t>DG5 Moisture content Outlet Air</t>
  </si>
  <si>
    <t>2-044-MC533-X</t>
  </si>
  <si>
    <t>9832</t>
  </si>
  <si>
    <t>2-044-MC533    Feuchte Abluft TP5 :  Messwert</t>
  </si>
  <si>
    <t>DG 4-5 zero level</t>
  </si>
  <si>
    <t>m</t>
  </si>
  <si>
    <t>2-044-TI704_NL</t>
  </si>
  <si>
    <t>13815</t>
  </si>
  <si>
    <t>Nulllinie TP4+5 [0..2 m]</t>
  </si>
  <si>
    <t>DG 4-5 zero level (Pa)</t>
  </si>
  <si>
    <t>Pa</t>
  </si>
  <si>
    <t>2-044-PC404-X</t>
  </si>
  <si>
    <t>9842</t>
  </si>
  <si>
    <t>2-044-PC404    Nulllinie TP4-5 :  Messwert</t>
  </si>
  <si>
    <t>DG5 Ventilator Revolution Output</t>
  </si>
  <si>
    <t>%</t>
  </si>
  <si>
    <t>QMS11_2-044-V511-N_FU</t>
  </si>
  <si>
    <t>12572</t>
  </si>
  <si>
    <t>Drehzahl Zuluft Ventilator  TP5 [0-100 %]</t>
  </si>
  <si>
    <t>DG4 Ventilator Revolution Output</t>
  </si>
  <si>
    <t>QMS11_2-044-V411-N_FU</t>
  </si>
  <si>
    <t>12569</t>
  </si>
  <si>
    <t>Drehzahl Zuluft Ventilator  TP4 [0-100 %]</t>
  </si>
  <si>
    <t>AD7 fabric tension bottom</t>
  </si>
  <si>
    <t>N/mm</t>
  </si>
  <si>
    <t>2-704-NI011-X</t>
  </si>
  <si>
    <t>17156</t>
  </si>
  <si>
    <t>Trockensiebspannung 7.TG oben : MESSWERT     [0..5 N/mm]</t>
  </si>
  <si>
    <t>AD6 fabric tension</t>
  </si>
  <si>
    <t>2-604-NI010-X</t>
  </si>
  <si>
    <t>17153</t>
  </si>
  <si>
    <t>Trockensiebspannung 6.TG : MESSWERT      [0..5 N/mm]</t>
  </si>
  <si>
    <t>AD7 speed top</t>
  </si>
  <si>
    <t>2-704-UZ001-O</t>
  </si>
  <si>
    <t>13210</t>
  </si>
  <si>
    <t xml:space="preserve">Geschwindigkeit TG 7 oben [0..1500 m/min] </t>
  </si>
  <si>
    <t>Speed PD5 top</t>
  </si>
  <si>
    <t>2-504-UZ001-O</t>
  </si>
  <si>
    <t>13207</t>
  </si>
  <si>
    <t xml:space="preserve">Geschwindigkeit TG 5 oben [0..1500 m/min] </t>
  </si>
  <si>
    <t>SpeedSizer Linepressure DS</t>
  </si>
  <si>
    <t>2-033-YP021_02-X</t>
  </si>
  <si>
    <t>9796</t>
  </si>
  <si>
    <t>2-033-YP021.02    Liniendruck TS :  Messwert</t>
  </si>
  <si>
    <t>SpeedSizer Linepressure FS</t>
  </si>
  <si>
    <t>2-033-YP021_01-X</t>
  </si>
  <si>
    <t>9795</t>
  </si>
  <si>
    <t>2-033-YP021.01    Liniendruck FS :  Messwert</t>
  </si>
  <si>
    <t>Pressure of Starch flow Speedsizer Bottom Roll~^0</t>
  </si>
  <si>
    <t>2-033-PI150-X</t>
  </si>
  <si>
    <t>9784</t>
  </si>
  <si>
    <t>2-033-PI150    Stärke Speedsizer 1 :  Messwert</t>
  </si>
  <si>
    <t>Starch consumption Bottom  [m³/h]</t>
  </si>
  <si>
    <t>m³/h</t>
  </si>
  <si>
    <t>STAERKE_FW</t>
  </si>
  <si>
    <t>13863</t>
  </si>
  <si>
    <t>Stärkeverbrauch feste Walze [0..5 m³/h]</t>
  </si>
  <si>
    <t>Starch consumption Top [m³/h]</t>
  </si>
  <si>
    <t>STAERKE_BW</t>
  </si>
  <si>
    <t>13862</t>
  </si>
  <si>
    <t>Stärkeverbrauch bewegl. Walze [0..5 m³/h]</t>
  </si>
  <si>
    <t>Consistency starch main line</t>
  </si>
  <si>
    <t>2-076-QI050_01-X</t>
  </si>
  <si>
    <t>13833</t>
  </si>
  <si>
    <t>Feststoffgehalt Stärke-Ringleitung [10..25 %]</t>
  </si>
  <si>
    <t>Pressure of Starch flow Speedsizer Top Roll</t>
  </si>
  <si>
    <t>2-033-PI250-X</t>
  </si>
  <si>
    <t>9787</t>
  </si>
  <si>
    <t>2-033-PI250    Stärke Speedsizer 2 :  Messwert</t>
  </si>
  <si>
    <t>Aktuelle Arbeitsbreite in cm~^0</t>
  </si>
  <si>
    <t>QO-REEL-CURR-AVG-WEBWIDTH</t>
  </si>
  <si>
    <t>8113</t>
  </si>
  <si>
    <t>Aktuelle Arbeitsbreite in cm</t>
  </si>
  <si>
    <t>Dilution water working tank 2</t>
  </si>
  <si>
    <t>2-033-FC200-X</t>
  </si>
  <si>
    <t>9768</t>
  </si>
  <si>
    <t>2-033-FC200    Stärke Arbeitsbehälter 2 :  Messwert</t>
  </si>
  <si>
    <t>Flow starch main line to working tank 2~^0</t>
  </si>
  <si>
    <t>2-033-FI200-X</t>
  </si>
  <si>
    <t>9773</t>
  </si>
  <si>
    <t>2-033-FI200    Konz. STärke AB2 :  Messwert</t>
  </si>
  <si>
    <t>Dilution water working tank 1</t>
  </si>
  <si>
    <t>2-033-FC100-X</t>
  </si>
  <si>
    <t>9764</t>
  </si>
  <si>
    <t>2-033-FC100    Stärke Arbeitsbehälter 1 :  Messwert</t>
  </si>
  <si>
    <t>Flow starch main line to working tank 1~^0</t>
  </si>
  <si>
    <t>2-033-FI100-X</t>
  </si>
  <si>
    <t>9772</t>
  </si>
  <si>
    <t>2-033-FI100    Konz. STärke AB1 :  Messwert</t>
  </si>
  <si>
    <t>Starch Top Roll [ml/m²]</t>
  </si>
  <si>
    <t>2-033-FI100-D2-X</t>
  </si>
  <si>
    <t>15381</t>
  </si>
  <si>
    <t>2-033-FI100-D2    Staerkeauftrag BW :  MESSWERT in [ml/m²]</t>
  </si>
  <si>
    <t>Starch Bottom Roll [ml/m²]</t>
  </si>
  <si>
    <t>2-033-FI100-D1-X</t>
  </si>
  <si>
    <t>15382</t>
  </si>
  <si>
    <t>Stärkeauftrag FW :  MESSWERT in [ml/m²]</t>
  </si>
  <si>
    <t>Moisture after SpeedSizer</t>
  </si>
  <si>
    <t>2-033-FI100-D3</t>
  </si>
  <si>
    <t>14108</t>
  </si>
  <si>
    <t xml:space="preserve">Feuchte nach SpeedSizer [0..50 %] </t>
  </si>
  <si>
    <t>Current reel moisture average(SpeedSizer)</t>
  </si>
  <si>
    <t>QLS-REEL-MOISTURE2-CUR</t>
  </si>
  <si>
    <t>43</t>
  </si>
  <si>
    <t>Current reel moisture average(Leimpresse)</t>
  </si>
  <si>
    <t>Rodsize BottomRoll</t>
  </si>
  <si>
    <t>2-033-M045-SEL</t>
  </si>
  <si>
    <t>Rod Size TopRoll</t>
  </si>
  <si>
    <t>2-033-M055-SEL</t>
  </si>
  <si>
    <t>AirTurn Temperature</t>
  </si>
  <si>
    <t>2-044-TC714-X</t>
  </si>
  <si>
    <t>9864</t>
  </si>
  <si>
    <t>2-044-TC714    Temp. Airturn :  Messwert</t>
  </si>
  <si>
    <t>Airturn pillow pressure</t>
  </si>
  <si>
    <t>2-044-PI712-X</t>
  </si>
  <si>
    <t>10259</t>
  </si>
  <si>
    <t>Kissendruck Airturn : Messwert [0..600 Pa]</t>
  </si>
  <si>
    <t>Rod Pressure Bottom Roll</t>
  </si>
  <si>
    <t>2-033-YP044-X</t>
  </si>
  <si>
    <t>9797</t>
  </si>
  <si>
    <t>2-033-YP044    Stab-Anpr-Dr festAW :  Messwert</t>
  </si>
  <si>
    <t>Rod clamping pressure Bottom Roll</t>
  </si>
  <si>
    <t>2-033-Y041-X</t>
  </si>
  <si>
    <t>9793</t>
  </si>
  <si>
    <t>2-033-Y041    Stab-Klemmung FW :  Messwert</t>
  </si>
  <si>
    <t>Air pressure of rod clamping hose Bottom Roll</t>
  </si>
  <si>
    <t>2-033-PI045-X</t>
  </si>
  <si>
    <t>9780</t>
  </si>
  <si>
    <t>2-033-PI045    Druck Rakelklemmschlauch FW :  Messwert</t>
  </si>
  <si>
    <t>Rod clamping pressure Top Roll</t>
  </si>
  <si>
    <t>2-033-Y051-X</t>
  </si>
  <si>
    <t>9794</t>
  </si>
  <si>
    <t>2-033-Y051    Stab-Klemmung BW :  Messwert</t>
  </si>
  <si>
    <t>Rod pressure Top Roll</t>
  </si>
  <si>
    <t>2-033-YP054-X</t>
  </si>
  <si>
    <t>9798</t>
  </si>
  <si>
    <t>2-033-YP054    Stab-Anpr-Dr bewAW :  Messwert</t>
  </si>
  <si>
    <t>Air pressure of rod clamping hose Top Roll</t>
  </si>
  <si>
    <t>2-033-PI055-X</t>
  </si>
  <si>
    <t>9781</t>
  </si>
  <si>
    <t>2-033-PI055    Druck Rakelklemmschlauch BW :  Messwert</t>
  </si>
  <si>
    <t>Steam flow to starch kitchen</t>
  </si>
  <si>
    <t>QMS11_2-009-FI200.01.5-X</t>
  </si>
  <si>
    <t>8494</t>
  </si>
  <si>
    <t xml:space="preserve">Dampfmenge Stärkeanlage : Messwert [0..5 t/h] </t>
  </si>
  <si>
    <t>Enzyme flow Slurry 1</t>
  </si>
  <si>
    <t>ml/min</t>
  </si>
  <si>
    <t>2-076-FC015_01-X</t>
  </si>
  <si>
    <t>13855</t>
  </si>
  <si>
    <t>Enzymmenge Slurry 1 [0..100 ml/min]</t>
  </si>
  <si>
    <t>Slurry 1 dosing screw rotation</t>
  </si>
  <si>
    <t>2-076-LC011_01-Y</t>
  </si>
  <si>
    <t>15956</t>
  </si>
  <si>
    <t>Slurry 1 Niveauregelung : REGLERAUSGANG     [0..100 %]</t>
  </si>
  <si>
    <t>Slurry 1 level</t>
  </si>
  <si>
    <t>2-076-LC011_01-X</t>
  </si>
  <si>
    <t>13823</t>
  </si>
  <si>
    <t>Niveau Slurry 1 Ansetzbehälter [0..100 %]</t>
  </si>
  <si>
    <t>Dilution water flow slurry 1</t>
  </si>
  <si>
    <t>l/h</t>
  </si>
  <si>
    <t>2-076-FC011_01-X</t>
  </si>
  <si>
    <t>13817</t>
  </si>
  <si>
    <t>Menge Aufschlämmwasser Slurry 1 [0..20000 l/h]</t>
  </si>
  <si>
    <t>Flow slurry 1 to reactor</t>
  </si>
  <si>
    <t>2-076-FC011_02-X</t>
  </si>
  <si>
    <t>13818</t>
  </si>
  <si>
    <t>Menge Slurry 1 zum Abbaukonverter [0..20000 l/h]</t>
  </si>
  <si>
    <t>Enzyme flow Slurry 2</t>
  </si>
  <si>
    <t>2-076-FC025_01-X</t>
  </si>
  <si>
    <t>13856</t>
  </si>
  <si>
    <t>Enzymmenge Slurry 2 [0..100 ml/min]</t>
  </si>
  <si>
    <t>Slurry 2 dosing screw rotation</t>
  </si>
  <si>
    <t>2-076-LC021_01-Y</t>
  </si>
  <si>
    <t>15958</t>
  </si>
  <si>
    <t>Aufschlämmbehälter 2 Niveau : REGLERAUSGANG     [0..100 %]</t>
  </si>
  <si>
    <t>Slurry 2 level</t>
  </si>
  <si>
    <t>2-076-LC021_01-X</t>
  </si>
  <si>
    <t>13824</t>
  </si>
  <si>
    <t>Niveau Slurry 2 Ansetzbehälter [0..100 %]</t>
  </si>
  <si>
    <t>Dilution water flow slurry 2</t>
  </si>
  <si>
    <t>2-076-FC021_01-X</t>
  </si>
  <si>
    <t>13819</t>
  </si>
  <si>
    <t>Menge Aufschlämmwasser Slurry 2 [0..20000 l/h]</t>
  </si>
  <si>
    <t>Flow slurry 2 to reactor</t>
  </si>
  <si>
    <t>2-076-FC021_02-X</t>
  </si>
  <si>
    <t>13820</t>
  </si>
  <si>
    <t>Menge Slurry 2 zum Abbaukonverter [0..20000 l/h]</t>
  </si>
  <si>
    <t>Enzyme flow Slurry 3</t>
  </si>
  <si>
    <t>2-076-FC065_01-X</t>
  </si>
  <si>
    <t>15943</t>
  </si>
  <si>
    <t>Enzymmenge Slurry 3 : MESSWERT     [0..100 ml/min]</t>
  </si>
  <si>
    <t>Slurry 3 dosing screw rotation</t>
  </si>
  <si>
    <t>2-076-SCHNECKEN-X</t>
  </si>
  <si>
    <t>15983</t>
  </si>
  <si>
    <t>Solldrehzahlschnecke : MESSWERT       [0..20000 %]</t>
  </si>
  <si>
    <t>Slurry 3 level</t>
  </si>
  <si>
    <t>2-076-LC061_01-X</t>
  </si>
  <si>
    <t>15962</t>
  </si>
  <si>
    <t>Niveau Stärkeaufschlämmung : MESSWERT      [0..100 %]</t>
  </si>
  <si>
    <t>Dilution water flow slurry 3</t>
  </si>
  <si>
    <t>2-076-FC061_01-X</t>
  </si>
  <si>
    <t>15937</t>
  </si>
  <si>
    <t>Regelventil Wasser Stärkeaufschlämmung : MESSWERT     [0..30000 l/h]</t>
  </si>
  <si>
    <t>Flow slurry 3 to reactor</t>
  </si>
  <si>
    <t>2-076-FC061_02-X</t>
  </si>
  <si>
    <t>15940</t>
  </si>
  <si>
    <t>Durchflussmesser Stärkeslurry Leitung : MESSWERT     [0..30000 l/h]</t>
  </si>
  <si>
    <t>Pressure slurry pipe 3</t>
  </si>
  <si>
    <t>2-076-PI061_01-X</t>
  </si>
  <si>
    <t>15978</t>
  </si>
  <si>
    <t>Drucktransmitter Stärkeslurry Leitung : MESSWERT     [0..10 bar]</t>
  </si>
  <si>
    <t>Pressure slurry main pipe</t>
  </si>
  <si>
    <t>2-076-PI021_01-X</t>
  </si>
  <si>
    <t>13830</t>
  </si>
  <si>
    <t>Druck Slurryleitung [0..10 bar]</t>
  </si>
  <si>
    <t>Reactor steam pressure</t>
  </si>
  <si>
    <t>2-076-PC070_01-X</t>
  </si>
  <si>
    <t>15975</t>
  </si>
  <si>
    <t>Regelventil Druck Kocher : MESSWERT     [0..10 bar]</t>
  </si>
  <si>
    <t>Reactor Temperature</t>
  </si>
  <si>
    <t>°C</t>
  </si>
  <si>
    <t>2-076-TC030_01-X</t>
  </si>
  <si>
    <t>13835</t>
  </si>
  <si>
    <t>Temperatur Abbaukonverter [0..200 °C]</t>
  </si>
  <si>
    <t>Reactor level</t>
  </si>
  <si>
    <t>2-076-LC030_01-X</t>
  </si>
  <si>
    <t>13825</t>
  </si>
  <si>
    <t>Niveau Abbaukonverter [0..100 %]</t>
  </si>
  <si>
    <t>Starch flow to inactivation</t>
  </si>
  <si>
    <t>2-076-FC030_01-X</t>
  </si>
  <si>
    <t>13821</t>
  </si>
  <si>
    <t>Stärkemenge zur Inaktivierung [0..25000 l/h]</t>
  </si>
  <si>
    <t>Pressure to inactivation</t>
  </si>
  <si>
    <t>2-076-PI030_01-X</t>
  </si>
  <si>
    <t>13832</t>
  </si>
  <si>
    <t>Druck zur Inaktivierung [0..10 bar]</t>
  </si>
  <si>
    <t>Temperature inactivation</t>
  </si>
  <si>
    <t>2-076-TI040_01-X</t>
  </si>
  <si>
    <t>13837</t>
  </si>
  <si>
    <t>Temperatur Inaktivierung [0..200 °C]</t>
  </si>
  <si>
    <t>Pressure after inactivation</t>
  </si>
  <si>
    <t>2-076-PC040_01-X</t>
  </si>
  <si>
    <t>13828</t>
  </si>
  <si>
    <t>Druck nach Inaktivierung [0..10 bar]</t>
  </si>
  <si>
    <t>Storage tank level</t>
  </si>
  <si>
    <t>m³</t>
  </si>
  <si>
    <t>2-076-LI050_01-X</t>
  </si>
  <si>
    <t>13826</t>
  </si>
  <si>
    <t>Niveau Vorratsbehälter [0..34 m³]</t>
  </si>
  <si>
    <t>Storage tank temperature</t>
  </si>
  <si>
    <t>2-076-TI050_01-X</t>
  </si>
  <si>
    <t>13838</t>
  </si>
  <si>
    <t>Temperatur Vorratsbehälter [0..150 °C]</t>
  </si>
  <si>
    <t>Dilution water storage tank</t>
  </si>
  <si>
    <t>2-076-FC050_01-X</t>
  </si>
  <si>
    <t>13822</t>
  </si>
  <si>
    <t>Verdünnungswasser zum Vorratsbehälter [0..5000 l/h]</t>
  </si>
  <si>
    <t>Pressure starch main line</t>
  </si>
  <si>
    <t>2-076-PC050_01-X</t>
  </si>
  <si>
    <t>13829</t>
  </si>
  <si>
    <t>Druck Stärke-Ringleitung [0..10 bar]</t>
  </si>
  <si>
    <t>Temperature starch working tank 1</t>
  </si>
  <si>
    <t>2-033-TI100-X</t>
  </si>
  <si>
    <t>15784</t>
  </si>
  <si>
    <t>Temperatur Staerke AB1 : MESSWERT     [0..100 °C]</t>
  </si>
  <si>
    <t>Level storage tank 2~^0</t>
  </si>
  <si>
    <t>2-033-LC100-X</t>
  </si>
  <si>
    <t>14114</t>
  </si>
  <si>
    <t xml:space="preserve">Niveau Stärke Arbeitsbehälter 1 [0..100 %] </t>
  </si>
  <si>
    <t>Differential pressure filter storage tank 1</t>
  </si>
  <si>
    <t>2-033-PD110-X</t>
  </si>
  <si>
    <t>9776</t>
  </si>
  <si>
    <t>2-033-PD110    Diff.Druck Filter 1 AB1 :  Messwert</t>
  </si>
  <si>
    <t>Temperature starch working tank 2</t>
  </si>
  <si>
    <t>2-033-TI200-X</t>
  </si>
  <si>
    <t>15785</t>
  </si>
  <si>
    <t>Temperatur Staerke AB2 : MESSWERT     [0..100 °C]</t>
  </si>
  <si>
    <t>Level storage tank 2</t>
  </si>
  <si>
    <t>2-033-LC200-X</t>
  </si>
  <si>
    <t>14115</t>
  </si>
  <si>
    <t xml:space="preserve">Niveau Stärke Arbeitsbehälter 2 [0..100 %] </t>
  </si>
  <si>
    <t>Differential pressure filter storage tank 2</t>
  </si>
  <si>
    <t>2-033-PD210-X</t>
  </si>
  <si>
    <t>9778</t>
  </si>
  <si>
    <t>2-033-PD210    Diff.Druck Filter 1 AB2 :  Messwert</t>
  </si>
  <si>
    <t>Steam Pressure Inactivation</t>
  </si>
  <si>
    <t>2-076-PC035_01-X</t>
  </si>
  <si>
    <t>13827</t>
  </si>
  <si>
    <t>Dampfdruck Inaktivierung / Abbau [0..10 bar]</t>
  </si>
  <si>
    <t>Dilution water flow slurry 2 control setting</t>
  </si>
  <si>
    <t>2-076-FC021_01-Y</t>
  </si>
  <si>
    <t>15929</t>
  </si>
  <si>
    <t>Aufschlämmb. 2 Wasserdurchfluss : REGLERAUSGANG     [0..100 %]</t>
  </si>
  <si>
    <t>Pressure cold water for slurry mixing</t>
  </si>
  <si>
    <t>2-076-PI021_02-X</t>
  </si>
  <si>
    <t>13831</t>
  </si>
  <si>
    <t>Druck Kaltwasser [0..10 bar]</t>
  </si>
  <si>
    <t>Dilution water flow slurry 1 control setting</t>
  </si>
  <si>
    <t>2-076-FC011_01-Y</t>
  </si>
  <si>
    <t>15923</t>
  </si>
  <si>
    <t>Slurrywasser 1 Mengenregelung : REGLERAUSGANG     [0..100 %]</t>
  </si>
  <si>
    <t>Revolution of Slurry 2 to reactor (control setting)</t>
  </si>
  <si>
    <t>2-076-FC021_02-Y</t>
  </si>
  <si>
    <t>15931</t>
  </si>
  <si>
    <t>Slurryleitung 2 Durchfluss : REGLERAUSGANG     [0..100 %]</t>
  </si>
  <si>
    <t>Revolution of Slurry 3 to reactor (control setting)</t>
  </si>
  <si>
    <t>2-076-FC061_02-Y</t>
  </si>
  <si>
    <t>15941</t>
  </si>
  <si>
    <t>Durchflussmesser Stärkeslurry Leitung : REGLERAUSGANG     [0..100 %]</t>
  </si>
  <si>
    <t>Revolution of Slurry 1 to reactor (control setting)</t>
  </si>
  <si>
    <t>2-076-FC011_02-Y</t>
  </si>
  <si>
    <t>15925</t>
  </si>
  <si>
    <t>Slurry 1 Mengenregelung : REGLERAUSGANG     [0..100 %]</t>
  </si>
  <si>
    <t>Pressure in cyclon storage tank</t>
  </si>
  <si>
    <t>2-076-PI040_01-X</t>
  </si>
  <si>
    <t>15977</t>
  </si>
  <si>
    <t>Druck im Zyklon Vorratsbehälter : MESSWERT    [0..10 bar]</t>
  </si>
  <si>
    <t>Fresh water main pipe pressure</t>
  </si>
  <si>
    <t>2-008-PI807_01-X</t>
  </si>
  <si>
    <t>10003</t>
  </si>
  <si>
    <t>Druck Frischwasserringleitung : Messwert [0..4 bar]</t>
  </si>
  <si>
    <t>Speed PD1</t>
  </si>
  <si>
    <t>2-104-UZ001-D9</t>
  </si>
  <si>
    <t>12959</t>
  </si>
  <si>
    <t>Geschwindigkeit 1. TG 1-1500 m/min</t>
  </si>
  <si>
    <t>Speed press section</t>
  </si>
  <si>
    <t>2-003-UZ001-MD_SPEED-X</t>
  </si>
  <si>
    <t>9763</t>
  </si>
  <si>
    <t>2-003-UZ001    Presse :  Istwert Geschwindigkeit</t>
  </si>
  <si>
    <t>Speed PD2</t>
  </si>
  <si>
    <t>2-204-UZ001-D9</t>
  </si>
  <si>
    <t>12960</t>
  </si>
  <si>
    <t>Geschwindigkeit 2. TG 1-1500 m/min</t>
  </si>
  <si>
    <t>Speed PD3</t>
  </si>
  <si>
    <t>2-304-UZ001-D9</t>
  </si>
  <si>
    <t>12961</t>
  </si>
  <si>
    <t>Geschwindigkeit 3. TG 1-1500 m/min</t>
  </si>
  <si>
    <t>Speed PD4 top</t>
  </si>
  <si>
    <t>2-404-UZ001-O</t>
  </si>
  <si>
    <t>13205</t>
  </si>
  <si>
    <t xml:space="preserve">Geschwindigkeit TG 4 oben [0..1500 m/min] </t>
  </si>
  <si>
    <t>Cylinder 1 differential pressure</t>
  </si>
  <si>
    <t>2-009-PD201_01-X</t>
  </si>
  <si>
    <t>10162</t>
  </si>
  <si>
    <t>Differenzdruck Zylinder 1 : Messwert [0..1 bar]</t>
  </si>
  <si>
    <t>Cylinder 1 steam pressure</t>
  </si>
  <si>
    <t>2-009-PC201_01-X</t>
  </si>
  <si>
    <t>10121</t>
  </si>
  <si>
    <t>Dampfdruck Zylinder 1 : Messwert [-1..6 bar]</t>
  </si>
  <si>
    <t>Cylinder 2 steam pressure</t>
  </si>
  <si>
    <t>2-009-PC201_02-X</t>
  </si>
  <si>
    <t>10124</t>
  </si>
  <si>
    <t>Dampfdruck Zylinder 2 : Messwert [-1..6 bar]</t>
  </si>
  <si>
    <t>Cylinder 3 differential pressure</t>
  </si>
  <si>
    <t>2-009-PD201_03-X</t>
  </si>
  <si>
    <t>10168</t>
  </si>
  <si>
    <t>Differenzdruck Zylinder 3 : Messwert [0..1 bar]</t>
  </si>
  <si>
    <t>Cylinder 2 differential pressure</t>
  </si>
  <si>
    <t>2-009-PD201_02-X</t>
  </si>
  <si>
    <t>10165</t>
  </si>
  <si>
    <t>Differenzdruck Zylinder 2 : Messwert [0..1 bar]</t>
  </si>
  <si>
    <t>Cylinder 3 steam pressure</t>
  </si>
  <si>
    <t>2-009-PC201_03-X</t>
  </si>
  <si>
    <t>10127</t>
  </si>
  <si>
    <t>Dampfdruck Zylinder 3 : Messwert [-1..6 bar]</t>
  </si>
  <si>
    <t>Cylinder 4 differential pressure</t>
  </si>
  <si>
    <t>2-009-PD201_04-X</t>
  </si>
  <si>
    <t>10171</t>
  </si>
  <si>
    <t>Differenzdruck Zylinder 4 : Messwert [0..1 bar]</t>
  </si>
  <si>
    <t>Cylinder 5 steam pressure</t>
  </si>
  <si>
    <t>2-009-PC201_05-X</t>
  </si>
  <si>
    <t>10133</t>
  </si>
  <si>
    <t>Dampfdruck Zylinder 5 : Messwert [-1..6 bar]</t>
  </si>
  <si>
    <t>Cylinder 4 steam pressure</t>
  </si>
  <si>
    <t>2-009-PC201_04-X</t>
  </si>
  <si>
    <t>10130</t>
  </si>
  <si>
    <t>Dampfdruck Zylinder 4 : Messwert [-1..6 bar]</t>
  </si>
  <si>
    <t>Cylinder 5 differential pressure</t>
  </si>
  <si>
    <t>2-009-PD201_05-X</t>
  </si>
  <si>
    <t>10174</t>
  </si>
  <si>
    <t>Differenzdruck Zylinder 5 : Messwert [0..1 bar]</t>
  </si>
  <si>
    <t>Cylinder 1-5 steam pressure</t>
  </si>
  <si>
    <t>2-009-PC200_01-X</t>
  </si>
  <si>
    <t>10093</t>
  </si>
  <si>
    <t>Dampfdruck Zylinder 1-5 : Messwert [0..10 bar]</t>
  </si>
  <si>
    <t>Cylinder 1-5 fresh steam</t>
  </si>
  <si>
    <t>2-009-PC200_01-PCV2-W</t>
  </si>
  <si>
    <t>10090</t>
  </si>
  <si>
    <t>Frischdampf Zylinder 1-5 : Sollwert [0..100 %]</t>
  </si>
  <si>
    <t>Cylinder 6-15 differential pressure</t>
  </si>
  <si>
    <t>2-009-PD202_01-X</t>
  </si>
  <si>
    <t>10181</t>
  </si>
  <si>
    <t>Differenzdruck Zylinder 6-15 : Messwert [0..1 bar]</t>
  </si>
  <si>
    <t>Cylinder 6-15 steam pressure</t>
  </si>
  <si>
    <t>2-009-PC200_02-X</t>
  </si>
  <si>
    <t>10098</t>
  </si>
  <si>
    <t>Dampfdruck Zylinder 6-15 : Messwert [0..6 bar]</t>
  </si>
  <si>
    <t>Cylinder 1-5 steam temperature</t>
  </si>
  <si>
    <t>2-009-TC201_01-X</t>
  </si>
  <si>
    <t>10228</t>
  </si>
  <si>
    <t>Dampftemperatur Zylinder 1-5 : Messwert [0..200 °C]</t>
  </si>
  <si>
    <t>Cylinder 14 differential pressure</t>
  </si>
  <si>
    <t>2-009-PD202_02-X</t>
  </si>
  <si>
    <t>10184</t>
  </si>
  <si>
    <t>Differenzdruck Zylinder 14 : Messwert [0..1 bar]</t>
  </si>
  <si>
    <t>Cylinder 16-24 steam pressure</t>
  </si>
  <si>
    <t>2-009-PC200_03_2-X</t>
  </si>
  <si>
    <t>10101</t>
  </si>
  <si>
    <t>Dampfdruck Zylinder 16-24 : Messwert [0..10 bar]</t>
  </si>
  <si>
    <t>Cylinder 25-35 steam pressure</t>
  </si>
  <si>
    <t>2-009-PC200_03_3-X</t>
  </si>
  <si>
    <t>10104</t>
  </si>
  <si>
    <t>Dampfdruck Zylinder 25-35 : Messwert [0..8 bar]</t>
  </si>
  <si>
    <t>Moisture out of PreDryer</t>
  </si>
  <si>
    <t>QMS11_MIC_MSTSCN2-X1</t>
  </si>
  <si>
    <t>11384</t>
  </si>
  <si>
    <t>Feuchte VTP Speedsizer 0-15%</t>
  </si>
  <si>
    <t>Cylinder 6-35 differential pressure</t>
  </si>
  <si>
    <t>2-009-PD203_01-X</t>
  </si>
  <si>
    <t>10191</t>
  </si>
  <si>
    <t>Differenzdruck Zylinder 16-35 : Messwert [0..1 bar]</t>
  </si>
  <si>
    <t>Inlet Air 2 Temperature</t>
  </si>
  <si>
    <t>1-000-TC025_02-X</t>
  </si>
  <si>
    <t>13631</t>
  </si>
  <si>
    <t>SP2: 1-000-TC025.02    TEMPERATUR ZULUFT 2 :  MESSWERT</t>
  </si>
  <si>
    <t>Inlet Air 1 Temperature</t>
  </si>
  <si>
    <t>1-000-TC025_01-X</t>
  </si>
  <si>
    <t>13630</t>
  </si>
  <si>
    <t>SP2: 1-000-TC025.01    TEMPERATUR ZULUFT 1 :  MESSWERT</t>
  </si>
  <si>
    <t>DG 1-3 zero point</t>
  </si>
  <si>
    <t>2-044-PC104-X</t>
  </si>
  <si>
    <t>9836</t>
  </si>
  <si>
    <t>2-044-PC104    Nulllinie TP1-3 :  Messwert</t>
  </si>
  <si>
    <t>DG1 Ventilator Revolution Output</t>
  </si>
  <si>
    <t>QMS11_2-044-V111-N1</t>
  </si>
  <si>
    <t>12562</t>
  </si>
  <si>
    <t>Drehzahl Zuluft Ventilator  TP1 [0-100 %]</t>
  </si>
  <si>
    <t>DG1 Moisture content Outlet Air</t>
  </si>
  <si>
    <t>2-044-MC133-X</t>
  </si>
  <si>
    <t>9828</t>
  </si>
  <si>
    <t xml:space="preserve">Feuchte Abluft TP1 : Messwert [0..200 g/kg d.a.] </t>
  </si>
  <si>
    <t>DG1 temperature Inlet Air</t>
  </si>
  <si>
    <t>2-044-TC113-X</t>
  </si>
  <si>
    <t>9849</t>
  </si>
  <si>
    <t>2-044-TC113    Temp. Zuluft TP1 :  Messwert</t>
  </si>
  <si>
    <t>DG1 zero point</t>
  </si>
  <si>
    <t>2-044-TI304_NL</t>
  </si>
  <si>
    <t>13813</t>
  </si>
  <si>
    <t>Nulllinie TP1 [0..2 m]</t>
  </si>
  <si>
    <t>DG2 Moisture content Outlet Air</t>
  </si>
  <si>
    <t>2-044-MC233-X</t>
  </si>
  <si>
    <t>9830</t>
  </si>
  <si>
    <t xml:space="preserve">Feuchte Abluft TP2 : Messwert [0..200 g/kg d.a.] </t>
  </si>
  <si>
    <t>DG2 temperature Inlet Air</t>
  </si>
  <si>
    <t>2-044-TC213-X</t>
  </si>
  <si>
    <t>9852</t>
  </si>
  <si>
    <t>2-044-TC213    Temp. Zuluft TP2 :  Messwert</t>
  </si>
  <si>
    <t>DG2 Ventilator Revolution Output</t>
  </si>
  <si>
    <t>QMS11_2-044-V211-N_FU</t>
  </si>
  <si>
    <t>12565</t>
  </si>
  <si>
    <t>Drehzahl Zuluft Ventilator  TP2 [0-100 %]</t>
  </si>
  <si>
    <t>DG2-3 zero point</t>
  </si>
  <si>
    <t>2-044-TI504_NL</t>
  </si>
  <si>
    <t>13814</t>
  </si>
  <si>
    <t>Nulllinie TP2+3 [0..2 m]</t>
  </si>
  <si>
    <t>DG3 Moisture content Outlet Air</t>
  </si>
  <si>
    <t>QMS11_2-044-MC333-W</t>
  </si>
  <si>
    <t>12556</t>
  </si>
  <si>
    <t>Sollwert Feuchte Abluft 3 [0-200 g/kg d.a.]</t>
  </si>
  <si>
    <t>DG3 temperature Inlet Air</t>
  </si>
  <si>
    <t>2-044-TC313-X</t>
  </si>
  <si>
    <t>9855</t>
  </si>
  <si>
    <t>2-044-TC313    Temp. Zuluft TP3 :  Messwert</t>
  </si>
  <si>
    <t>DG3 Ventilator Revolution Output</t>
  </si>
  <si>
    <t>QMS11_2-044-V311-N_FU</t>
  </si>
  <si>
    <t>12567</t>
  </si>
  <si>
    <t>Drehzahl Zuluft Ventilator  TP3 [0-100 %]</t>
  </si>
  <si>
    <t>PD1 Fabric tension</t>
  </si>
  <si>
    <t>2-104-NC010-X</t>
  </si>
  <si>
    <t>14020</t>
  </si>
  <si>
    <t>Siebspannung 1.TG [0..5 N/mm]</t>
  </si>
  <si>
    <t>PD2 Fabric tension</t>
  </si>
  <si>
    <t>2-204-NC010-X</t>
  </si>
  <si>
    <t>14021</t>
  </si>
  <si>
    <t>Siebspannung 2.TG [0..5 N/mm]</t>
  </si>
  <si>
    <t>PD5 fabric tension bottom</t>
  </si>
  <si>
    <t>2-504-NI010-X</t>
  </si>
  <si>
    <t>17147</t>
  </si>
  <si>
    <t>Trockensiebspannung 5.TG unten : MESSWERT     [0..5 N/mm]</t>
  </si>
  <si>
    <t>PD4 fabric tension</t>
  </si>
  <si>
    <t>2-404-NC011-X</t>
  </si>
  <si>
    <t>14246</t>
  </si>
  <si>
    <t>Siebspannung 4.TG [0..5 N/mm]</t>
  </si>
  <si>
    <t>PD4 fabric tension bottom</t>
  </si>
  <si>
    <t>2-404-NI010-X</t>
  </si>
  <si>
    <t>17143</t>
  </si>
  <si>
    <t>Trockensiebspannung 4.TG unten : MESSWERT     [0..5 N/mm]</t>
  </si>
  <si>
    <t>PD5 fabric tension top</t>
  </si>
  <si>
    <t>2-504-NI011-X</t>
  </si>
  <si>
    <t>17148</t>
  </si>
  <si>
    <t>Trockensiebspannung 5.TG oben : MESSWERT     [0..5 N/mm]</t>
  </si>
  <si>
    <t>ProRelease 1 LoVac</t>
  </si>
  <si>
    <t>2-199-PI064-X</t>
  </si>
  <si>
    <t>9815</t>
  </si>
  <si>
    <t>2-199-PI064    Nieder-Vakuum ProRelease 1 :  Messwert</t>
  </si>
  <si>
    <t>ProRelease 2 LoVac</t>
  </si>
  <si>
    <t>2-199-PI065-X</t>
  </si>
  <si>
    <t>9816</t>
  </si>
  <si>
    <t>2-199-PI065    Nieder-Vakuum ProRelease 2 :  Messwert</t>
  </si>
  <si>
    <t>ProRelease 3 LoVac</t>
  </si>
  <si>
    <t>2-199-PI066-X</t>
  </si>
  <si>
    <t>9817</t>
  </si>
  <si>
    <t>2-199-PI066    Nieder-Vakuum ProRelease 3 :  Messwert</t>
  </si>
  <si>
    <t>ProRelease 4 LoVac</t>
  </si>
  <si>
    <t>2-199-PI071-X</t>
  </si>
  <si>
    <t>9818</t>
  </si>
  <si>
    <t>2-199-PI071    Nieder-Vakuum ProRelease 4 :  Messwert</t>
  </si>
  <si>
    <t>ProRelease 5 LoVac</t>
  </si>
  <si>
    <t>2-199-PI072-X</t>
  </si>
  <si>
    <t>9819</t>
  </si>
  <si>
    <t>2-199-PI072    Nieder-Vakuum ProRelease 5 :  Messwert</t>
  </si>
  <si>
    <t>ProRelease 6 LoVac</t>
  </si>
  <si>
    <t>2-199-PI073-X</t>
  </si>
  <si>
    <t>9820</t>
  </si>
  <si>
    <t>2-199-PI073    Nieder-Vakuum ProRelease 6 :  Messwert</t>
  </si>
  <si>
    <t>ProRelease 7 LoVac</t>
  </si>
  <si>
    <t>2-199-PI074-X</t>
  </si>
  <si>
    <t>9821</t>
  </si>
  <si>
    <t>2-199-PI074    Nieder-Vakuum ProRelease 7 :  Messwert</t>
  </si>
  <si>
    <t>Compressor 1 outgoing pressure</t>
  </si>
  <si>
    <t>2-199-PI001-X</t>
  </si>
  <si>
    <t>14090</t>
  </si>
  <si>
    <t>Druck Ausgang Verdichter 1.TG [0..2 bar]</t>
  </si>
  <si>
    <t>Compressor 2 outgoing pressure</t>
  </si>
  <si>
    <t>2-199-PI002-X</t>
  </si>
  <si>
    <t>14091</t>
  </si>
  <si>
    <t>Druck Ausgang Verdichter 2.TG [0..2 bar]</t>
  </si>
  <si>
    <t>Speed PD4 bottom</t>
  </si>
  <si>
    <t>2-404-UZ001-U</t>
  </si>
  <si>
    <t>13206</t>
  </si>
  <si>
    <t xml:space="preserve">Geschwindigkeit TG 4 unten [0..1500 m/min] </t>
  </si>
  <si>
    <t>Speed PD5 bottom</t>
  </si>
  <si>
    <t>2-504-UZ001-U</t>
  </si>
  <si>
    <t>13208</t>
  </si>
  <si>
    <t xml:space="preserve">Geschwindigkeit TG 5 unten [0..1500 m/min] </t>
  </si>
  <si>
    <t>Forming Wire Speed</t>
  </si>
  <si>
    <t>2-238-UZ001-D4</t>
  </si>
  <si>
    <t>12958</t>
  </si>
  <si>
    <t>Geschwindigkeit Siebpartie [0..1500 m/min]</t>
  </si>
  <si>
    <t>PickUp Tension</t>
  </si>
  <si>
    <t>QMS11_2-103-NC071-X</t>
  </si>
  <si>
    <t>13189</t>
  </si>
  <si>
    <t>Pickup Filz Spannung[0-10] in [kN/m]</t>
  </si>
  <si>
    <t>Vacuum Zone 1 PickUp</t>
  </si>
  <si>
    <t>PM1_2-103-PI090-X</t>
  </si>
  <si>
    <t>9707</t>
  </si>
  <si>
    <t>Vakuum Zone 1 Pickupwalze : Messwert [-1..0 bar]</t>
  </si>
  <si>
    <t>Vacuum presszone of suction-press roll</t>
  </si>
  <si>
    <t>PM1_2-103-PI091-X</t>
  </si>
  <si>
    <t>9708</t>
  </si>
  <si>
    <t>Vakuum Presszone Saugpresswalze : Messwert [-1..0 bar]</t>
  </si>
  <si>
    <t>Vacuum holding/pre positions of suction-press roll</t>
  </si>
  <si>
    <t>PM1_2-103-PI092-X</t>
  </si>
  <si>
    <t>9709</t>
  </si>
  <si>
    <t>Vakuum Pre/Haltezone Saugpresswalze : Messwert [-1..0 bar]</t>
  </si>
  <si>
    <t>Vacuum uhle-box Pick-Up</t>
  </si>
  <si>
    <t>2-103-PC084-X</t>
  </si>
  <si>
    <t>9706</t>
  </si>
  <si>
    <t>Vakuum Rohrsauger Pickup Filz : Messwert [-1..0 bar]</t>
  </si>
  <si>
    <t>Vacuum uhle-box bottom felt</t>
  </si>
  <si>
    <t>2-203-PI084-X</t>
  </si>
  <si>
    <t>9724</t>
  </si>
  <si>
    <t>Rohrsauger 1 Unterfilz : Messwert [-1..0 bar]</t>
  </si>
  <si>
    <t>Power Vacuum pump press section 305</t>
  </si>
  <si>
    <t>kW</t>
  </si>
  <si>
    <t>2-028-P305_01-X</t>
  </si>
  <si>
    <t>Power Vacuum pump 308 (reserve)</t>
  </si>
  <si>
    <t>2-028-P308_01-X</t>
  </si>
  <si>
    <t>Power Vacuum pump press section 306</t>
  </si>
  <si>
    <t>2-028-P306_01-X</t>
  </si>
  <si>
    <t>Dewatering First Press Roll</t>
  </si>
  <si>
    <t>L/MIN</t>
  </si>
  <si>
    <t>2-146-FI050-X</t>
  </si>
  <si>
    <t>9720</t>
  </si>
  <si>
    <t xml:space="preserve">Entwässerung 1.Presswalze : Messwert [0..1800 l/min] </t>
  </si>
  <si>
    <t>Dewatering Suction Press Roll</t>
  </si>
  <si>
    <t>2-246-FI050-X</t>
  </si>
  <si>
    <t>9739</t>
  </si>
  <si>
    <t xml:space="preserve">Entwässerung Saugpresswalze : Messwert [0..3000 l/min] </t>
  </si>
  <si>
    <t>Dewatering Shoe press</t>
  </si>
  <si>
    <t>2-346-FI050-X</t>
  </si>
  <si>
    <t>9746</t>
  </si>
  <si>
    <t xml:space="preserve">Entwässerung Schuhmodul : Messwert [0..1000 l/min] </t>
  </si>
  <si>
    <t>Dewatering Pick-Up</t>
  </si>
  <si>
    <t>l/min</t>
  </si>
  <si>
    <t>2-103-FI050-X</t>
  </si>
  <si>
    <t>9699</t>
  </si>
  <si>
    <t>Entwässerung Abnahmefilz [0..5000 l/min]</t>
  </si>
  <si>
    <t>Linepressure 1st press FS [bar]</t>
  </si>
  <si>
    <t>PM1_2-146-YP043_01-X</t>
  </si>
  <si>
    <t>9721</t>
  </si>
  <si>
    <t>Linienkraft FS 1. Presse : Messwert [0..250 bar]</t>
  </si>
  <si>
    <t>Linepressure 2nd press FS [bar]</t>
  </si>
  <si>
    <t>PM1_2-246-YP043_01-X</t>
  </si>
  <si>
    <t>9740</t>
  </si>
  <si>
    <t>Linienkraft FS 2. Presse : Messwert [0..250 bar]</t>
  </si>
  <si>
    <t>Linepressure 1st press DS [bar]</t>
  </si>
  <si>
    <t>PM1_2-146-YP043_02-X</t>
  </si>
  <si>
    <t>9722</t>
  </si>
  <si>
    <t>Linienkraft TS 1. Presse : Messwert [0..250 bar]</t>
  </si>
  <si>
    <t>Linepressure 2nd press DS [bar]</t>
  </si>
  <si>
    <t>PM1_2-246-YP043_02-X</t>
  </si>
  <si>
    <t>9741</t>
  </si>
  <si>
    <t>Linienkraft TS 2. Presse : Messwert [0..250 bar]</t>
  </si>
  <si>
    <t>Linepressure shoe press [bar]</t>
  </si>
  <si>
    <t>PM1_2-346-YP043-X</t>
  </si>
  <si>
    <t>9761</t>
  </si>
  <si>
    <t>Linienkraft Schuhpresse: Messwert [0..250 bar]</t>
  </si>
  <si>
    <t>Uhle box 1 flow [ l/min]</t>
  </si>
  <si>
    <t>2-028-FI315_01_1-X</t>
  </si>
  <si>
    <t>10242</t>
  </si>
  <si>
    <t>Auslauf P315_01 : Messwert [0..1000 l/min]</t>
  </si>
  <si>
    <t>Uhle box 2 flow [ l/min]</t>
  </si>
  <si>
    <t>2-028-FI315_02_1-X</t>
  </si>
  <si>
    <t>10243</t>
  </si>
  <si>
    <t>Auslauf P315_02 : Messwert [0..500 l/min]</t>
  </si>
  <si>
    <t>Top Felt Tension</t>
  </si>
  <si>
    <t>QMS11_2-303-NC071-X</t>
  </si>
  <si>
    <t>13191</t>
  </si>
  <si>
    <t>Oberfilz Spannung[0-10] in [kN/m]</t>
  </si>
  <si>
    <t>Bottom Felt Tension</t>
  </si>
  <si>
    <t>QMS11_2-203-NC071-X</t>
  </si>
  <si>
    <t>13190</t>
  </si>
  <si>
    <t>Unterfilz Spannung[0-10] in [kN/m]</t>
  </si>
  <si>
    <t>Total Dewatering Press</t>
  </si>
  <si>
    <t>GESAMT-ENTWAESSERUNG-PRESSE</t>
  </si>
  <si>
    <t>Bottom wire tension</t>
  </si>
  <si>
    <t>QMS11_2-238-NC071-X</t>
  </si>
  <si>
    <t>13193</t>
  </si>
  <si>
    <t>Untersieb Spannung[0-10] in [kN/m]</t>
  </si>
  <si>
    <t>Vacuum top wire suction box zone 1</t>
  </si>
  <si>
    <t>PM1_2-138-PC093-X</t>
  </si>
  <si>
    <t>9716</t>
  </si>
  <si>
    <t>Vakuum Obersiebsaugkasten Zone 1 (03) : Messwert [-0.3..0 bar]</t>
  </si>
  <si>
    <t>Vacuum top wire suction box zone 2</t>
  </si>
  <si>
    <t>PM1_2-138-PC095-X</t>
  </si>
  <si>
    <t>9718</t>
  </si>
  <si>
    <t>Vakuum Obersiebsaugkasten Zone 2 (04) : Messwert [-1..0 bar]</t>
  </si>
  <si>
    <t>Vacuum formning roll</t>
  </si>
  <si>
    <t>PM1_2-238-PC092-X</t>
  </si>
  <si>
    <t>9725</t>
  </si>
  <si>
    <t>Vakuum Formierwalze : Messwert [-0.25..0 bar]</t>
  </si>
  <si>
    <t>Dewatering top wire suction box zone 1</t>
  </si>
  <si>
    <t>PM1_2-138-FI094-X</t>
  </si>
  <si>
    <t>9712</t>
  </si>
  <si>
    <t>Obersiebsaugkasten Zone 1 : Messwert [0..3000 l/min]</t>
  </si>
  <si>
    <t>Dewatering Jet channel</t>
  </si>
  <si>
    <t>PM1_2-138-FI092-X</t>
  </si>
  <si>
    <t>9711</t>
  </si>
  <si>
    <t>Jet Kanal Obersiebsaugkasten : Messwert [0..30000 l/min]</t>
  </si>
  <si>
    <t>Dewatering top wire suction box zone 2</t>
  </si>
  <si>
    <t>PM1_2-138-FI096-X</t>
  </si>
  <si>
    <t>9713</t>
  </si>
  <si>
    <t>Obersiebsaugkasten Zone 2 : Messwert [0..3000 l/min]</t>
  </si>
  <si>
    <t>Vacuum suction box 9</t>
  </si>
  <si>
    <t>PM1_2-238-PC095-X</t>
  </si>
  <si>
    <t>9731</t>
  </si>
  <si>
    <t>Vakuum Flachsauger (9) : Messwert [-1..1 bar]</t>
  </si>
  <si>
    <t>Vacuum wet suction box</t>
  </si>
  <si>
    <t>PM1_2-238-PC093-X</t>
  </si>
  <si>
    <t>9727</t>
  </si>
  <si>
    <t>Vakuum Flachsauger (05) : Messwert [-0.35..0 bar]</t>
  </si>
  <si>
    <t>Vacuum sheet seperator box</t>
  </si>
  <si>
    <t>PM1_2-238-PC094-X</t>
  </si>
  <si>
    <t>9729</t>
  </si>
  <si>
    <t>Vakuum Trennsauger (08) : Messwert [-1..0 bar]</t>
  </si>
  <si>
    <t>Vacuum suction box 10</t>
  </si>
  <si>
    <t>PM1_2-238-PC096-X</t>
  </si>
  <si>
    <t>9733</t>
  </si>
  <si>
    <t>Vakuum Flachsauger (10) : Messwert [-1..0 bar]</t>
  </si>
  <si>
    <t>Vacuum suction box 11</t>
  </si>
  <si>
    <t>PM1_2-238-PC097-X</t>
  </si>
  <si>
    <t>9735</t>
  </si>
  <si>
    <t>Vakuum Flachsauger (11) : Messwert [-1..1 bar]</t>
  </si>
  <si>
    <t>Vacuum wire suction box 1</t>
  </si>
  <si>
    <t>2-238-PI090-X</t>
  </si>
  <si>
    <t>9737</t>
  </si>
  <si>
    <t>Vakuum Siebsaugwalze Zone 1 : Messwert [-1..0 bar]</t>
  </si>
  <si>
    <t>Vacuum wire suction box 2</t>
  </si>
  <si>
    <t>PM1_2-238-PI091-X</t>
  </si>
  <si>
    <t>9738</t>
  </si>
  <si>
    <t>Vakuum Siebsaugwalze Zone 2 : Messwert [-1..0 bar]</t>
  </si>
  <si>
    <t>Consistency white water</t>
  </si>
  <si>
    <t>G/L</t>
  </si>
  <si>
    <t>2-008-QC041_30_2-X</t>
  </si>
  <si>
    <t>10007</t>
  </si>
  <si>
    <t>Stoffdichte 2 Siebwasser [0..10 G/L]</t>
  </si>
  <si>
    <t>White water temperature</t>
  </si>
  <si>
    <t>2-009-TI209_01-X</t>
  </si>
  <si>
    <t>11349</t>
  </si>
  <si>
    <t>Temperatur Kondensat Siebwassererwärmung : MESSWERT     [0..200 °C]</t>
  </si>
  <si>
    <t>Conductivity white water B46</t>
  </si>
  <si>
    <t>µS/cm</t>
  </si>
  <si>
    <t>2-008-QI046_02-X</t>
  </si>
  <si>
    <t>14014</t>
  </si>
  <si>
    <t xml:space="preserve">Leitfähigkeit B46 [0,04..20 µS/cm] </t>
  </si>
  <si>
    <t>Top wire tenstion</t>
  </si>
  <si>
    <t>QMS11_2-138-NC071-X</t>
  </si>
  <si>
    <t>13192</t>
  </si>
  <si>
    <t>Obersieb Spannung[0-10] in [kN/m]</t>
  </si>
  <si>
    <t>pH measurement white water B41</t>
  </si>
  <si>
    <t>pH</t>
  </si>
  <si>
    <t>2-008-QI049_02-X</t>
  </si>
  <si>
    <t>13197</t>
  </si>
  <si>
    <t>pH B49 [2-12] in [pH]</t>
  </si>
  <si>
    <t>Differential pressure retention aid filter</t>
  </si>
  <si>
    <t>2-008-PD083_01-X</t>
  </si>
  <si>
    <t>15585</t>
  </si>
  <si>
    <t>Diff.Druck Filter Retention : MESSWERT     [-10..10 bar]</t>
  </si>
  <si>
    <t>Inlet pressure TrumpJet station A1-A4</t>
  </si>
  <si>
    <t>2-008-PI087_02-X</t>
  </si>
  <si>
    <t>12965</t>
  </si>
  <si>
    <t>Druck Eindüsung TrumpJet         0-10  bar</t>
  </si>
  <si>
    <t>Differential pressure A1-A4 between stock and chemical</t>
  </si>
  <si>
    <t>2-008-PD087_01-X</t>
  </si>
  <si>
    <t>15586</t>
  </si>
  <si>
    <t>Diff.Druck Eindüsung/Stoffleitung : MESSWERT      [-10..10 bar]</t>
  </si>
  <si>
    <t>Inlet pressure TrumpJet station C1-C4</t>
  </si>
  <si>
    <t>2-008-PI087_11-X</t>
  </si>
  <si>
    <t>12966</t>
  </si>
  <si>
    <t>Druck Mischung TrumpJet          0-10 bar</t>
  </si>
  <si>
    <t>Differential pressure C1-C4 between stock and chemical</t>
  </si>
  <si>
    <t>2-008-PD087_11-X</t>
  </si>
  <si>
    <t>15587</t>
  </si>
  <si>
    <t>Diff.Druck Mischung/Stoffleitung : MESSWERT      [-10..10 bar]</t>
  </si>
  <si>
    <t>Pre pressure TrumpJet</t>
  </si>
  <si>
    <t>2-008-PI087_01-X</t>
  </si>
  <si>
    <t>12964</t>
  </si>
  <si>
    <t>Stoffvordruck TrumpJet              0-10 bar</t>
  </si>
  <si>
    <t>Stock to TrumpJet</t>
  </si>
  <si>
    <t>2-008-FC087_01-X</t>
  </si>
  <si>
    <t>12962</t>
  </si>
  <si>
    <t>Stoffmenge zum TrumpJet 0-4000  l/min</t>
  </si>
  <si>
    <t>Mixing water to TrumpJet</t>
  </si>
  <si>
    <t>2-008-FI087_11-X</t>
  </si>
  <si>
    <t>12963</t>
  </si>
  <si>
    <t>Mischwassermenge TrumpJet [0..500 l/h]</t>
  </si>
  <si>
    <t>Pressure of pressure amplifying pump for retention aid injection</t>
  </si>
  <si>
    <t>2-008-PC088-X</t>
  </si>
  <si>
    <t>15581</t>
  </si>
  <si>
    <t>Druck Druckerhöhungspumpe : MESSWERT      [0..25 bar]</t>
  </si>
  <si>
    <t>Flow of pressure amplyfing pump</t>
  </si>
  <si>
    <t>2-008-FC088-X</t>
  </si>
  <si>
    <t>15454</t>
  </si>
  <si>
    <t>Mengenmessung Druckerhöhungspumpe : MESSWERT      [0..80 m³/h]</t>
  </si>
  <si>
    <t>Bentonite filter differential pressure</t>
  </si>
  <si>
    <t>2-008-PD080_10_1-X</t>
  </si>
  <si>
    <t>15584</t>
  </si>
  <si>
    <t>Differenzdruck Bentonitfilter zum TrumpJet : MESSWERT    [0..10 bar]</t>
  </si>
  <si>
    <t>Bentonite flow station B1 TrumpJet</t>
  </si>
  <si>
    <t>2-008-FI087_21-X</t>
  </si>
  <si>
    <t>12968</t>
  </si>
  <si>
    <t>Menge B1 Retention TrumpJet                0-60  l/min</t>
  </si>
  <si>
    <t>Bentonite flow station B2 TrumpJet</t>
  </si>
  <si>
    <t>2-008-FI087_22-X</t>
  </si>
  <si>
    <t>12969</t>
  </si>
  <si>
    <t>Menge B2 Retention TrumpJet                0-60  l/min</t>
  </si>
  <si>
    <t>Bentonite flow station B4 TrumpJet</t>
  </si>
  <si>
    <t>2-008-FI087_24-X</t>
  </si>
  <si>
    <t>12971</t>
  </si>
  <si>
    <t>Menge B4 Retention TrumpJet                0-60  l/min</t>
  </si>
  <si>
    <t>Bentonite flow station B3 TrumpJet</t>
  </si>
  <si>
    <t>2-008-FI087_23-X</t>
  </si>
  <si>
    <t>12970</t>
  </si>
  <si>
    <t>Menge B3 Retention TrumpJet                0-60   l/min</t>
  </si>
  <si>
    <t>Pressure Bentonite TrumpJet</t>
  </si>
  <si>
    <t>2-008-PI087_21-X</t>
  </si>
  <si>
    <t>12967</t>
  </si>
  <si>
    <t>Druck Retentionsmittel TrumpJet           0-10 bar</t>
  </si>
  <si>
    <t>Differential pressure B1-B4 between stock and chemical</t>
  </si>
  <si>
    <t>2-008-PD087_21-X</t>
  </si>
  <si>
    <t>15588</t>
  </si>
  <si>
    <t>Diff.Druck Retention/Stoffleitung : MESSWERT      [-10..10 bar]</t>
  </si>
  <si>
    <t>Backflow cross-flow distributor dilution water~^0</t>
  </si>
  <si>
    <t>2-008-HC041_30_1-Y</t>
  </si>
  <si>
    <t>9937</t>
  </si>
  <si>
    <t>Rücklauf Querstromverteiler Verd.ws : Ausgang [-1..110 %]</t>
  </si>
  <si>
    <t>Backflow cross-flow distributor stock~^0</t>
  </si>
  <si>
    <t>2-008-HC041_10_1-Y</t>
  </si>
  <si>
    <t>9934</t>
  </si>
  <si>
    <t>Rücklauf Querstromverteiler Stoff : Ausgang [-1..110 %]</t>
  </si>
  <si>
    <t>Headbox pressure</t>
  </si>
  <si>
    <t>2-008-PC041_11-X</t>
  </si>
  <si>
    <t>9968</t>
  </si>
  <si>
    <t>Druck Stoffauflaufkasten : Messwert [0..4 bar]</t>
  </si>
  <si>
    <t>Headbox pressure DS</t>
  </si>
  <si>
    <t>2-008-PC041_11TS-X</t>
  </si>
  <si>
    <t>9967</t>
  </si>
  <si>
    <t>Druck Stoffauflauf TS : Messwert [0..4 bar]</t>
  </si>
  <si>
    <t>Headbox pressure FS</t>
  </si>
  <si>
    <t>2-008-PI041_12-X</t>
  </si>
  <si>
    <t>9992</t>
  </si>
  <si>
    <t>Druck Stoffauflauf FS : Messwert [0..4 bar]</t>
  </si>
  <si>
    <t>Headbox total flow</t>
  </si>
  <si>
    <t>2-008-PC041_11-Q</t>
  </si>
  <si>
    <t>13226</t>
  </si>
  <si>
    <t>Durchsatz Stoffauflauf [0..100000 l/min]</t>
  </si>
  <si>
    <t>Lip settings</t>
  </si>
  <si>
    <t>mm</t>
  </si>
  <si>
    <t>2-006-GI011_01-X</t>
  </si>
  <si>
    <t>9697</t>
  </si>
  <si>
    <t>Lippenverstellung [0..35 mm]</t>
  </si>
  <si>
    <t>Jet/wire ratio</t>
  </si>
  <si>
    <t>M/MIN</t>
  </si>
  <si>
    <t>2-008-PC041.11-X-STRAHL-SIEB</t>
  </si>
  <si>
    <t>10465</t>
  </si>
  <si>
    <t>Strahl-Sieb [-100..100 m/min]</t>
  </si>
  <si>
    <t>Thick Stock Consistency [%]</t>
  </si>
  <si>
    <t>2-008-CC031_01-X</t>
  </si>
  <si>
    <t>9896</t>
  </si>
  <si>
    <t>Stoffdichte Mischbütte : Messwert [0..8 %]</t>
  </si>
  <si>
    <t>Thick Stock Flow [l/min]</t>
  </si>
  <si>
    <t>2-008-FI033_01-X</t>
  </si>
  <si>
    <t>9925</t>
  </si>
  <si>
    <t>Stoffmenge aus Maschinenbütte [0..40000 l/min]</t>
  </si>
  <si>
    <t>Machine chest consistency</t>
  </si>
  <si>
    <t>2-008-CI033_01-X</t>
  </si>
  <si>
    <t>9902</t>
  </si>
  <si>
    <t>Stoffdichte Maschinenbütte : Messwert [0..6 %]</t>
  </si>
  <si>
    <t>Dilution water deculator pressure</t>
  </si>
  <si>
    <t>2-008-PI041_25_1-X</t>
  </si>
  <si>
    <t>9995</t>
  </si>
  <si>
    <t>Druck Verdünnungswasser Deculator : Messwert [-1..0 bar]</t>
  </si>
  <si>
    <t>Sorter stock power</t>
  </si>
  <si>
    <t>2-008-A041_10-X</t>
  </si>
  <si>
    <t>9891</t>
  </si>
  <si>
    <t>Strom Machinensortierer [-10..150 A]</t>
  </si>
  <si>
    <t>Dilution water deculator temperature</t>
  </si>
  <si>
    <t>2-008-TI041_25_1-X</t>
  </si>
  <si>
    <t>10023</t>
  </si>
  <si>
    <t>Temperatur Verdünnungsws. Deculator : Messwert [0..100 °C]</t>
  </si>
  <si>
    <t>Stock deculator pressure</t>
  </si>
  <si>
    <t>2-008-PI041_05_1-X</t>
  </si>
  <si>
    <t>9986</t>
  </si>
  <si>
    <t>Druck Stoff-Deculator : Messwert [-1..1 bar]</t>
  </si>
  <si>
    <t>Stock deculator temperature</t>
  </si>
  <si>
    <t>2-008-TI041_05_1-X</t>
  </si>
  <si>
    <t>10021</t>
  </si>
  <si>
    <t>Temperatur Stoff-Deculator : Messwert [0..100 °C]</t>
  </si>
  <si>
    <t>Dilutionwater pump power</t>
  </si>
  <si>
    <t>2-008-P041_30-XI</t>
  </si>
  <si>
    <t>13720</t>
  </si>
  <si>
    <t>Strom Verdünnungswasserpumpe Stoffauflauf [0..410 A]</t>
  </si>
  <si>
    <t>Short fibre flow</t>
  </si>
  <si>
    <t>2-008-FC031_01-X</t>
  </si>
  <si>
    <t>9904</t>
  </si>
  <si>
    <t>Kurzfaser von B06 : Messwert [0..20000 l/min]</t>
  </si>
  <si>
    <t>Long fibre flow</t>
  </si>
  <si>
    <t>2-008-FC031_02-X</t>
  </si>
  <si>
    <t>9907</t>
  </si>
  <si>
    <t>Langfaser von B07 : Messwert [0..10000 l/min]</t>
  </si>
  <si>
    <t>Short fibre B06 consistency</t>
  </si>
  <si>
    <t>1-000-CC006_01-X</t>
  </si>
  <si>
    <t>8144</t>
  </si>
  <si>
    <t>SP1: 1-000-CC006.01    STOFFDICHTE KF :  MESSWERT</t>
  </si>
  <si>
    <t>Long fibre consistency B07</t>
  </si>
  <si>
    <t>1-000-CC007_01-X</t>
  </si>
  <si>
    <t>8143</t>
  </si>
  <si>
    <t>SP1: 1-000-CC007.01    STOFFDICHTE B07 :  MESSWERT</t>
  </si>
  <si>
    <t>Dry broke flow</t>
  </si>
  <si>
    <t>FC031.03-TROCKENAUSSCHUSS</t>
  </si>
  <si>
    <t>8149</t>
  </si>
  <si>
    <t xml:space="preserve">Trockenausschuss : Messwert [0..10000 l/min] </t>
  </si>
  <si>
    <t>pH-Messung Verdünnungswasser [2..12 pH]</t>
  </si>
  <si>
    <t>2-008-QI041_30_04-X</t>
  </si>
  <si>
    <t>13213</t>
  </si>
  <si>
    <t>Wet broke flow</t>
  </si>
  <si>
    <t>2-008-FC031_04-X</t>
  </si>
  <si>
    <t>13227</t>
  </si>
  <si>
    <t>Nassausschuss : Messwert [0..32000 l/min]</t>
  </si>
  <si>
    <t>Wet broke consistency</t>
  </si>
  <si>
    <t>2-008-QI042_01-X</t>
  </si>
  <si>
    <t>10070</t>
  </si>
  <si>
    <t>Stoffdichte Nassausschuss B42 : Messwert [0..4 %]</t>
  </si>
  <si>
    <t>Sludge addition to stock</t>
  </si>
  <si>
    <t>3-000-FC064_01-X</t>
  </si>
  <si>
    <t>13224</t>
  </si>
  <si>
    <t>Dünnschlammmenge [0..60 m³/h]</t>
  </si>
  <si>
    <t>Free gas before dilution water deculator measurement 1~^0</t>
  </si>
  <si>
    <t>Vol%</t>
  </si>
  <si>
    <t>2-008-QI041_25_01-X</t>
  </si>
  <si>
    <t>14087</t>
  </si>
  <si>
    <t xml:space="preserve">freies Gas vor Deculator [0..8 Vol%] </t>
  </si>
  <si>
    <t>Free gas before dilution water deculator measurement 2</t>
  </si>
  <si>
    <t>2-008-QI041.25.01-X</t>
  </si>
  <si>
    <t>10068</t>
  </si>
  <si>
    <t xml:space="preserve">Freies Gas vor Deculator (vol%) [0..9 V/V %] </t>
  </si>
  <si>
    <t>Dissolved gas before dilution water deculator</t>
  </si>
  <si>
    <t>2-008-QI041.25.02-X</t>
  </si>
  <si>
    <t>14085</t>
  </si>
  <si>
    <t>Free gas after stock deculator~^0</t>
  </si>
  <si>
    <t>QMS11_2-008-QC041.05.01-X</t>
  </si>
  <si>
    <t>8413</t>
  </si>
  <si>
    <t xml:space="preserve">Freies Gas nach Stoff-Deculator [0..9 Vol%] </t>
  </si>
  <si>
    <t>Dissolved gas after stock deculator measurement 1</t>
  </si>
  <si>
    <t>2-008-QI041.05.02-X</t>
  </si>
  <si>
    <t>10067</t>
  </si>
  <si>
    <t xml:space="preserve">Gelöstes Gas n. Deculator (vol%) [0..9 Vol %] </t>
  </si>
  <si>
    <t>Dissolved gas after stock deculator measurement 2</t>
  </si>
  <si>
    <t>2-008-QI041_05_02-X</t>
  </si>
  <si>
    <t>14086</t>
  </si>
  <si>
    <t xml:space="preserve">gelöstes Gas nach Deculator [0..8 Vol%] </t>
  </si>
  <si>
    <t>Ash measurement HC-line</t>
  </si>
  <si>
    <t>2-008-QI041_10_2-X</t>
  </si>
  <si>
    <t>14244</t>
  </si>
  <si>
    <t xml:space="preserve">Aschemessung HC-Linie [0..10 g/l] </t>
  </si>
  <si>
    <t>Stock Valve Opening From Machine Chest</t>
  </si>
  <si>
    <t>2-008-HC033_01-X</t>
  </si>
  <si>
    <t>9929</t>
  </si>
  <si>
    <t>Stoffregulierschieber : Messwert [-1..110 %]</t>
  </si>
  <si>
    <t>Dry Broke Consistancy [%]</t>
  </si>
  <si>
    <t>2-008-CC040_01-X</t>
  </si>
  <si>
    <t>9900</t>
  </si>
  <si>
    <t>Stoffdichte Trockenausschuss : Messwert [0..5 %]</t>
  </si>
  <si>
    <t>Pulper consistency</t>
  </si>
  <si>
    <t>1-000-CC001_1-X</t>
  </si>
  <si>
    <t>14414</t>
  </si>
  <si>
    <t>ATS1 power</t>
  </si>
  <si>
    <t>1-000-EI002_1-X</t>
  </si>
  <si>
    <t>13314</t>
  </si>
  <si>
    <t>SP2: 1-000-EI002.1    STROM A02.1 :  MESSWERT</t>
  </si>
  <si>
    <t>ATS1 differential pressure</t>
  </si>
  <si>
    <t>1-000-PI002_2DP-X</t>
  </si>
  <si>
    <t>13552</t>
  </si>
  <si>
    <t>SP2: 1-000-PI002_2DP    Differenzdruck ATS1 :  MESSWERT</t>
  </si>
  <si>
    <t>ATS1 light reject flow</t>
  </si>
  <si>
    <t>1-000-FC002_1-X</t>
  </si>
  <si>
    <t>14629</t>
  </si>
  <si>
    <t>SP2: 1-000-FC002_1    Menge Leichtschmutzaustrag ATS1 :  MESSWERT</t>
  </si>
  <si>
    <t>ATS2 differential pressure</t>
  </si>
  <si>
    <t>1-000-PI003_11DP-X</t>
  </si>
  <si>
    <t>13554</t>
  </si>
  <si>
    <t>SP2: 1-000-PI003_11DP    Differenzdruck ATS2 :  MESSWERT</t>
  </si>
  <si>
    <t>ATS2 light reject flow</t>
  </si>
  <si>
    <t>1-000-FC003_1-X</t>
  </si>
  <si>
    <t>14632</t>
  </si>
  <si>
    <t>SP2: 1-000-FC003_1    Mengenregelung Leichtschmutzaustrag ATS2 :  MESSWERT</t>
  </si>
  <si>
    <t>Combisorter 1 power</t>
  </si>
  <si>
    <t>1-000-EI004_1-X</t>
  </si>
  <si>
    <t>13316</t>
  </si>
  <si>
    <t>SP1: 1-000-EI004_1    Strom Combisorter 1 :  MESSWERT</t>
  </si>
  <si>
    <t>Combisorter 2 power</t>
  </si>
  <si>
    <t>1-000-EI004_2-X</t>
  </si>
  <si>
    <t>13317</t>
  </si>
  <si>
    <t>SP1: 1-000-EI004_2    Strom Combisorter 2 :  MESSWERT</t>
  </si>
  <si>
    <t>Combisorter 3 power</t>
  </si>
  <si>
    <t>1-000-A004_3-X</t>
  </si>
  <si>
    <t>14545</t>
  </si>
  <si>
    <t>SP3: 1-000-A004_3    Combisorter 3 :  MESSWERT</t>
  </si>
  <si>
    <t>Contaminex 1 power</t>
  </si>
  <si>
    <t>1-000-A001_35-X</t>
  </si>
  <si>
    <t>14541</t>
  </si>
  <si>
    <t>SP3: 1-000-A001_35    Strom Siebcontaminex 1 :  MESSWERT</t>
  </si>
  <si>
    <t>Contaminex 2 power</t>
  </si>
  <si>
    <t>1-000-A001_36-X</t>
  </si>
  <si>
    <t>14542</t>
  </si>
  <si>
    <t>SP3: 1-000-A001_36    Strom Siebcontaminex 2 :  MESSWERT</t>
  </si>
  <si>
    <t>Contaminex 3 power</t>
  </si>
  <si>
    <t>1-000-A001_37-X</t>
  </si>
  <si>
    <t>14543</t>
  </si>
  <si>
    <t>SP3: 1-000-A001_37    Strom Siebcontaminex 3 :  MESSWERT</t>
  </si>
  <si>
    <t>Multifractor 1 long fibre flow</t>
  </si>
  <si>
    <t>1-000-FC005_4-X</t>
  </si>
  <si>
    <t>13365</t>
  </si>
  <si>
    <t>SP2: 1-000-FC005_4    Langfasermenge MF Linie 1 :  MESSWERT</t>
  </si>
  <si>
    <t>Multifractor 1 short fibre flow</t>
  </si>
  <si>
    <t>1-000-FC005_3-X</t>
  </si>
  <si>
    <t>13363</t>
  </si>
  <si>
    <t>SP2: 1-000-FC005_3    Kurzfasermenge MF Linie 1 :  MESSWERT</t>
  </si>
  <si>
    <t>Multifractor 1 consistency</t>
  </si>
  <si>
    <t>1-000-CC005_1_1-X</t>
  </si>
  <si>
    <t>13300</t>
  </si>
  <si>
    <t>SP1: 1-000-CC005_1_1    Stoffdichte Fraktionierung Linie 1 :  MESSWERT</t>
  </si>
  <si>
    <t>Multifractor 2 long fibre flow</t>
  </si>
  <si>
    <t>1-000-FC005_2-X</t>
  </si>
  <si>
    <t>13361</t>
  </si>
  <si>
    <t>SP2: 1-000-FC005_2    Langfasermenge MF Linie 2 :  MESSWERT</t>
  </si>
  <si>
    <t>Multifractor 2 short fibre flow</t>
  </si>
  <si>
    <t>1-000-FC005_1-X</t>
  </si>
  <si>
    <t>13359</t>
  </si>
  <si>
    <t>SP2: 1-000-FC005_1    Kurzfasermenge MF Linie 2 :  MESSWERT</t>
  </si>
  <si>
    <t>Multifractor 2 consistency</t>
  </si>
  <si>
    <t>1-000-CC005_1_2-X</t>
  </si>
  <si>
    <t>13302</t>
  </si>
  <si>
    <t>SP1: 1-000-CC005_1_2    Stoffdichte Fraktionierung Linie 2 :  MESSWERT</t>
  </si>
  <si>
    <t>Multifractor 3 long fibre flow</t>
  </si>
  <si>
    <t>1-000-FC005_8_1-X</t>
  </si>
  <si>
    <t>13367</t>
  </si>
  <si>
    <t>SP2: 1-000-FC005_8_1    Langfasermenge MF Linie 3 :  MESSWERT</t>
  </si>
  <si>
    <t>Multifractor 3 short fibre flow</t>
  </si>
  <si>
    <t>1-000-FC005_8_2-X</t>
  </si>
  <si>
    <t>13369</t>
  </si>
  <si>
    <t>SP2: 1-000-FC005_8_2    Kurzfasermenge MF Linie 3 :  MESSWERT</t>
  </si>
  <si>
    <t>Multifractor 3 consistency</t>
  </si>
  <si>
    <t>1-000-CC005_1_3-X</t>
  </si>
  <si>
    <t>13304</t>
  </si>
  <si>
    <t>SP1: 1-000-CC005_1_3    Stoffdichte Fraktionierung Linie 3 :  MESSWERT</t>
  </si>
  <si>
    <t>LF screen 1 power</t>
  </si>
  <si>
    <t>1-000-EI005_9_1-X</t>
  </si>
  <si>
    <t>13327</t>
  </si>
  <si>
    <t>SP2: 1-000-EI005_9_1    Strom LF-Sortierer A005_9 :  MESSWERT</t>
  </si>
  <si>
    <t>LF screen 1 accept flow</t>
  </si>
  <si>
    <t>1-000-FI005_9_1-X</t>
  </si>
  <si>
    <t>13403</t>
  </si>
  <si>
    <t>SP2: 1-000-FI005_9_1    Gutstoffmenge LF-Sortierer 1 :  MESSWERT</t>
  </si>
  <si>
    <t>LF screen 2 inlet consistency</t>
  </si>
  <si>
    <t>1-000-QI005_10-X</t>
  </si>
  <si>
    <t>14376</t>
  </si>
  <si>
    <t>SP1: 1-000-QI005_10    Stoffdichtemessung Zulauf LF-Sortierer 2 :  MESSWERT</t>
  </si>
  <si>
    <t>LF screen 2 power</t>
  </si>
  <si>
    <t>1-000-EI005_10-X</t>
  </si>
  <si>
    <t>13321</t>
  </si>
  <si>
    <t>SP1: 1-000-EI005_10    Strom LF-Sortierer A005_10 :  MESSWERT</t>
  </si>
  <si>
    <t>LF screen 3 inlet consistency</t>
  </si>
  <si>
    <t>1-000-QI005_11-X</t>
  </si>
  <si>
    <t>14384</t>
  </si>
  <si>
    <t>SP1: 1-000-QI005_11    Stoffdichtemessung Zulauf LF-Sortierer 3 :  MESSWERT</t>
  </si>
  <si>
    <t>LF screen 3 power</t>
  </si>
  <si>
    <t>1-000-A005_11-X</t>
  </si>
  <si>
    <t>14249</t>
  </si>
  <si>
    <t>SP1: 1-000-A005.11    Langfasersortierer Strom:  MESSWERT</t>
  </si>
  <si>
    <t>LF screen 1 reject flow</t>
  </si>
  <si>
    <t>1-000-FC005_9_2-X</t>
  </si>
  <si>
    <t>13371</t>
  </si>
  <si>
    <t>SP1: 1-000-FC005_9_2    Rejektmenge LF-Sortierer 1 :  MESSWERT</t>
  </si>
  <si>
    <t>LF screen 2 accept flow</t>
  </si>
  <si>
    <t>1-000-FC005_10-X</t>
  </si>
  <si>
    <t>13343</t>
  </si>
  <si>
    <t>SP2: 1-000-FC005_10    Gutstoffmenge LF-Sortierer 2 :  MESSWERT</t>
  </si>
  <si>
    <t>LF screen 2 reject flow</t>
  </si>
  <si>
    <t>1-000-FC005_11-X</t>
  </si>
  <si>
    <t>13345</t>
  </si>
  <si>
    <t>SP1: 1-000-FC005_11    Rejektmenge LF-Sortierer 2 :  MESSWERT</t>
  </si>
  <si>
    <t>LF screen 3 reject flow</t>
  </si>
  <si>
    <t>1-000-FC005_13-X</t>
  </si>
  <si>
    <t>13349</t>
  </si>
  <si>
    <t>SP2: 1-000-FC005_13    Rejektmenge LF-Sortierer 3 :  MESSWERT</t>
  </si>
  <si>
    <t>LF screen 3 accept flow</t>
  </si>
  <si>
    <t>1-000-FC005_14-X</t>
  </si>
  <si>
    <t>13351</t>
  </si>
  <si>
    <t>SP2: 1-000-FC005_14    Gutstoffmenge LF-Sortierer 3 :  MESSWERT</t>
  </si>
  <si>
    <t>Steam flow to heat exchangers</t>
  </si>
  <si>
    <t>QMS11_2-009-FI200.01.4-X</t>
  </si>
  <si>
    <t>8493</t>
  </si>
  <si>
    <t xml:space="preserve">Dampf Waerag : Messwert [0..15 t/h] </t>
  </si>
  <si>
    <t>Steam flow to hall heating</t>
  </si>
  <si>
    <t>QMS11_2-009-FI200.01.7-X</t>
  </si>
  <si>
    <t>8495</t>
  </si>
  <si>
    <t xml:space="preserve">Dampf Hallenheizung : Messwert [0..25 t/h] </t>
  </si>
  <si>
    <t>Steam flow to white water heating</t>
  </si>
  <si>
    <t>QMS11_2-009-FI210.01-X</t>
  </si>
  <si>
    <t>8497</t>
  </si>
  <si>
    <t xml:space="preserve">Dampf Siebwasser : Messwert [0..15 t/h] </t>
  </si>
  <si>
    <t>Steam flow to steam box</t>
  </si>
  <si>
    <t>QMS11_2-009-FI208.01-X</t>
  </si>
  <si>
    <t>8496</t>
  </si>
  <si>
    <t xml:space="preserve">Dampf Dampfbox : Messwert [0..11 t/h] </t>
  </si>
  <si>
    <t>Steam flow to PM</t>
  </si>
  <si>
    <t>2-009-FI200_01_1-X</t>
  </si>
  <si>
    <t>10072</t>
  </si>
  <si>
    <t>Dampf PM gesamt : Messwert [0..110 t/h]</t>
  </si>
  <si>
    <t>Pressure main steam line</t>
  </si>
  <si>
    <t>2-009-PI200_01_3-X</t>
  </si>
  <si>
    <t>10214</t>
  </si>
  <si>
    <t>Druck Gesamtdampf : Messwert [0..10 bar]</t>
  </si>
  <si>
    <t>Steam temperature for PM</t>
  </si>
  <si>
    <t>2-009-TC200_02-X</t>
  </si>
  <si>
    <t>10224</t>
  </si>
  <si>
    <t>Dampftemperatur PM : Messwert [0..250 °C]</t>
  </si>
  <si>
    <t>Steam pressure for PM</t>
  </si>
  <si>
    <t>2-009-PC200_00-X</t>
  </si>
  <si>
    <t>10086</t>
  </si>
  <si>
    <t>Druck Hauptdampf PM : Messwert [0..10 bar]</t>
  </si>
  <si>
    <t>Condensate conductivity</t>
  </si>
  <si>
    <t>2-009-QI209_01-X</t>
  </si>
  <si>
    <t>10215</t>
  </si>
  <si>
    <t>Leitfähigkeit Kondensat : Messwert [0..20 µS/cm]</t>
  </si>
  <si>
    <t>Condensate cloudidity</t>
  </si>
  <si>
    <t>GUD\2-009-QI209_02-X/MELD.QPV</t>
  </si>
  <si>
    <t>Total condensate flow</t>
  </si>
  <si>
    <t>2-009-FI209_01-X</t>
  </si>
  <si>
    <t>13799</t>
  </si>
  <si>
    <t>Kondensatmenge gesamt [0..150 m³/h]</t>
  </si>
  <si>
    <t>Freshwater warm [l/min]</t>
  </si>
  <si>
    <t>2-008-FI807_01-X</t>
  </si>
  <si>
    <t>9927</t>
  </si>
  <si>
    <t>Frischwassermenge PM: Messwert [0..6000 l/min]</t>
  </si>
  <si>
    <t>Freshwater retention [l/min]</t>
  </si>
  <si>
    <t>2-008-FI807_03-X</t>
  </si>
  <si>
    <t>13990</t>
  </si>
  <si>
    <t>Frischwasser Retention [0..300 l/min]</t>
  </si>
  <si>
    <t>Freshwater to Machine Tank [l/min]</t>
  </si>
  <si>
    <t>2-008-FI807_06-X</t>
  </si>
  <si>
    <t>15465</t>
  </si>
  <si>
    <t>Frischwasser zu B801 &amp; B802 : MESSWERT   [0..4000 l/min]</t>
  </si>
  <si>
    <t>Freshwater pressure from the city [bar]</t>
  </si>
  <si>
    <t>2-009-PI806_01-X</t>
  </si>
  <si>
    <t>15715</t>
  </si>
  <si>
    <t>Istwert Druck Stadtwasser : MESSWERT     [0..10 bar]</t>
  </si>
  <si>
    <t>Row Labels</t>
  </si>
  <si>
    <t>1-000-A001_38-X</t>
  </si>
  <si>
    <t>1-000-A005_10-WG</t>
  </si>
  <si>
    <t>1-000-A005_11-WG</t>
  </si>
  <si>
    <t>1-000-A005_15-WG</t>
  </si>
  <si>
    <t>1-000-A005_15-X</t>
  </si>
  <si>
    <t>1-000-A005_40-N</t>
  </si>
  <si>
    <t>1-000-A005_9-WG</t>
  </si>
  <si>
    <t>1-000-CC001_30-X</t>
  </si>
  <si>
    <t>1-000-CC002_1-X</t>
  </si>
  <si>
    <t>1-000-EI003_1-X</t>
  </si>
  <si>
    <t>1-000-EI005_9_2-X</t>
  </si>
  <si>
    <t>1-000-FC005_12-X</t>
  </si>
  <si>
    <t>1-000-FC005_16-X</t>
  </si>
  <si>
    <t>1-000-FC005_17-X</t>
  </si>
  <si>
    <t>1-000-FC011_20-X</t>
  </si>
  <si>
    <t>1-000-FC016_1-X</t>
  </si>
  <si>
    <t>1-000-FC018_2-X</t>
  </si>
  <si>
    <t>1-000-FI000_2-X</t>
  </si>
  <si>
    <t>1-000-FI005_1_1-X</t>
  </si>
  <si>
    <t>1-000-FI005_1_3-X</t>
  </si>
  <si>
    <t>1-000-FI005_10-X</t>
  </si>
  <si>
    <t>1-000-FI005_12-X</t>
  </si>
  <si>
    <t>1-000-FI005_2_1-X</t>
  </si>
  <si>
    <t>1-000-FI005_3_1-X</t>
  </si>
  <si>
    <t>1-000-FI005_4_1-X</t>
  </si>
  <si>
    <t>1-000-FI005_40-X</t>
  </si>
  <si>
    <t>1-000-FI005_41-X</t>
  </si>
  <si>
    <t>1-000-FI005_42-X</t>
  </si>
  <si>
    <t>1-000-FI005_5_1-X</t>
  </si>
  <si>
    <t>1-000-FI005_50-X</t>
  </si>
  <si>
    <t>1-000-FI005_51-X</t>
  </si>
  <si>
    <t>1-000-H001_50-STATE</t>
  </si>
  <si>
    <t>1-000-LC001_30-X</t>
  </si>
  <si>
    <t>1-000-LC004_1-LCV2-Y</t>
  </si>
  <si>
    <t>1-000-LC005_40-X</t>
  </si>
  <si>
    <t>1-000-LC005_50-X</t>
  </si>
  <si>
    <t>1-000-LC011_2-X</t>
  </si>
  <si>
    <t>1-000-LI002_1-X</t>
  </si>
  <si>
    <t>1-000-LI002_2-X</t>
  </si>
  <si>
    <t>1-000-LI006_1-X</t>
  </si>
  <si>
    <t>1-000-LI007_01_1-X</t>
  </si>
  <si>
    <t>1-000-P001_30_1-N_IST%</t>
  </si>
  <si>
    <t>1-000-P001_30_2-N_IST%</t>
  </si>
  <si>
    <t>1-000-P002_2-X</t>
  </si>
  <si>
    <t>1-000-P005_1_1-Y</t>
  </si>
  <si>
    <t>1-000-P005_1_2-Y</t>
  </si>
  <si>
    <t>1-000-P005_1_3-Y</t>
  </si>
  <si>
    <t>1-000-P006_1-X</t>
  </si>
  <si>
    <t>1-000-PC004_1_1-X</t>
  </si>
  <si>
    <t>1-000-PC004_2_1-X</t>
  </si>
  <si>
    <t>1-000-PC004_3_1-X</t>
  </si>
  <si>
    <t>1-000-PC004_3_2-X</t>
  </si>
  <si>
    <t>1-000-PC005_1_1-X</t>
  </si>
  <si>
    <t>1-000-PC005_1_3-X</t>
  </si>
  <si>
    <t>1-000-PC005_1_5-X</t>
  </si>
  <si>
    <t>1-000-PI001_30-X</t>
  </si>
  <si>
    <t>1-000-PI004_1_2-X</t>
  </si>
  <si>
    <t>1-000-PI004_2_2-X</t>
  </si>
  <si>
    <t>1-000-PI005_10DP-X</t>
  </si>
  <si>
    <t>1-000-PI005_12DP-X</t>
  </si>
  <si>
    <t>1-000-PI005_18DP-X</t>
  </si>
  <si>
    <t>1-000-PI005_40-X</t>
  </si>
  <si>
    <t>1-000-PI005_41-X</t>
  </si>
  <si>
    <t>1-000-PI005_50-X</t>
  </si>
  <si>
    <t>1-000-PI005_51-X</t>
  </si>
  <si>
    <t>1-000-PI005_9_1DP-X</t>
  </si>
  <si>
    <t>1-000-QC005_40-X</t>
  </si>
  <si>
    <t>1-000-QI005_15-X</t>
  </si>
  <si>
    <t>1-000-QI011_1-X</t>
  </si>
  <si>
    <t>1-000-QI016_1-X</t>
  </si>
  <si>
    <t>1-000-R001_30-N_IST%</t>
  </si>
  <si>
    <t>1-000-SC003_1-X</t>
  </si>
  <si>
    <t>2-000-2A1J36-P</t>
  </si>
  <si>
    <t>2-000-2A1J37-P</t>
  </si>
  <si>
    <t>2-006-GI010_01-X</t>
  </si>
  <si>
    <t>2-007-UZ001-TAMBOUR_NR</t>
  </si>
  <si>
    <t>2-008-A041_30-I1-X</t>
  </si>
  <si>
    <t>2-008-FC080_10_3-X</t>
  </si>
  <si>
    <t>2-008-FC083_01-X</t>
  </si>
  <si>
    <t>2-008-KT-SAS-ON</t>
  </si>
  <si>
    <t>2-008-KT-S-ON</t>
  </si>
  <si>
    <t>2-008-LC031_01-X</t>
  </si>
  <si>
    <t>2-008-LC033_01-X</t>
  </si>
  <si>
    <t>2-008-LC041_05_1-X</t>
  </si>
  <si>
    <t>2-008-LC041_25_1-X</t>
  </si>
  <si>
    <t>2-008-LC046_01-X</t>
  </si>
  <si>
    <t>2-008-LC049_01-X</t>
  </si>
  <si>
    <t>2-008-PD041_10_1-X</t>
  </si>
  <si>
    <t>2-008-PD041_30_1-X</t>
  </si>
  <si>
    <t>2-008-QI033_01-X</t>
  </si>
  <si>
    <t>2-008-QI041_11-X</t>
  </si>
  <si>
    <t>2-008-QI041_25_02-X</t>
  </si>
  <si>
    <t>2-008-QI041_30_01-X</t>
  </si>
  <si>
    <t>2-008-QI041_30_03-X</t>
  </si>
  <si>
    <t>2-008-QI046_01-X</t>
  </si>
  <si>
    <t>2-008-QI049_01-X</t>
  </si>
  <si>
    <t>2-008-QI049_03-X</t>
  </si>
  <si>
    <t>2-008-RET_GESAMT-X</t>
  </si>
  <si>
    <t>2-009-FI200_01_2</t>
  </si>
  <si>
    <t>2-009-Fi200_01_4</t>
  </si>
  <si>
    <t>2-009-FI200_01_5-X</t>
  </si>
  <si>
    <t>2-009-FI200_01_6</t>
  </si>
  <si>
    <t>2-009-FI200_01_7</t>
  </si>
  <si>
    <t>2-009-FI201_02</t>
  </si>
  <si>
    <t>2-009-FI203_01</t>
  </si>
  <si>
    <t>2-009-FI205_01</t>
  </si>
  <si>
    <t>2-009-FI210_01-X</t>
  </si>
  <si>
    <t>2-009-PC200_11</t>
  </si>
  <si>
    <t>2-009-PC200_12</t>
  </si>
  <si>
    <t>2-028-P304_01-X</t>
  </si>
  <si>
    <t>2-028-P307_01-X</t>
  </si>
  <si>
    <t>2-033-FC150-X</t>
  </si>
  <si>
    <t>2-033-FC250-X</t>
  </si>
  <si>
    <t>2-033-FI100-G_M2 (Value can be inaccurate due to system fluctuations).</t>
  </si>
  <si>
    <t>2-033-FI200-G_M2 (Value can be inaccurate due to system fluctuations).</t>
  </si>
  <si>
    <t>2-033-NI001-X</t>
  </si>
  <si>
    <t>2-033-NI002-X</t>
  </si>
  <si>
    <t>2-033-UZ001-D9</t>
  </si>
  <si>
    <t>2-033-Y021-D7</t>
  </si>
  <si>
    <t>2-033-YP021-D6</t>
  </si>
  <si>
    <t>2-033-YP021-D8</t>
  </si>
  <si>
    <t>2-060-ANTRIEB42</t>
  </si>
  <si>
    <t>2-060-GI056-D1</t>
  </si>
  <si>
    <t>2-060-UZ011-941</t>
  </si>
  <si>
    <t>2-060-UZ011-D1</t>
  </si>
  <si>
    <t>2-076-AW1</t>
  </si>
  <si>
    <t>2-076-AW2</t>
  </si>
  <si>
    <t>2-076-AW3</t>
  </si>
  <si>
    <t>2-076-FC011_01</t>
  </si>
  <si>
    <t>2-076-FC011_02</t>
  </si>
  <si>
    <t>2-076-FC015_01</t>
  </si>
  <si>
    <t>2-076-FC021_01</t>
  </si>
  <si>
    <t>2-076-FC021_02</t>
  </si>
  <si>
    <t>2-076-FC025_01</t>
  </si>
  <si>
    <t>2-076-FC061_01</t>
  </si>
  <si>
    <t>2-076-FC061_02</t>
  </si>
  <si>
    <t>2-076-FC25_01</t>
  </si>
  <si>
    <t>(blank)</t>
  </si>
  <si>
    <t>2-076-QI050_01</t>
  </si>
  <si>
    <t>2-104-ANTRIEB10-KW</t>
  </si>
  <si>
    <t>2-104-ANTRIEB11-KW</t>
  </si>
  <si>
    <t>2-104-FI001-X</t>
  </si>
  <si>
    <t>2-104-NC010_1-IST_POS</t>
  </si>
  <si>
    <t>2-104-NC010_2-IST_POS</t>
  </si>
  <si>
    <t>2-146-YP043-D6</t>
  </si>
  <si>
    <t>2-199-P071_2-X</t>
  </si>
  <si>
    <t>2-199-PI061-X</t>
  </si>
  <si>
    <t>2-199-PI062-X</t>
  </si>
  <si>
    <t>2-199-PI063-X</t>
  </si>
  <si>
    <t>2-199-PI067-X</t>
  </si>
  <si>
    <t>2-199-PI068-X</t>
  </si>
  <si>
    <t>2-199-PI069-X</t>
  </si>
  <si>
    <t>2-199-PI070-X</t>
  </si>
  <si>
    <t>2-199-UZ011-D1</t>
  </si>
  <si>
    <t>2-204-ANTRIEB12-KW</t>
  </si>
  <si>
    <t>2-204-ANTRIEB13-KW</t>
  </si>
  <si>
    <t>2-204-ANTRIEB14-KW</t>
  </si>
  <si>
    <t>2-204-NC010_1-IST_POS</t>
  </si>
  <si>
    <t>2-204-NC010_2-IST_POS</t>
  </si>
  <si>
    <t>2-238-PC095-D2</t>
  </si>
  <si>
    <t>2-238-PC096-D2</t>
  </si>
  <si>
    <t>2-238-UZ020-915</t>
  </si>
  <si>
    <t>2-246-YP043-D6</t>
  </si>
  <si>
    <t>2-299-UZ011-D1</t>
  </si>
  <si>
    <t>2-304-ANTRIEB15-KW</t>
  </si>
  <si>
    <t>2-304-ANTRIEB16-KW</t>
  </si>
  <si>
    <t>2-304-ANTRIEB17-KW</t>
  </si>
  <si>
    <t>2-304-NC010_1-IST_POS</t>
  </si>
  <si>
    <t>2-304-NC010_2-IST_POS</t>
  </si>
  <si>
    <t>2-304-NC010-X</t>
  </si>
  <si>
    <t>2-304-NI001-X</t>
  </si>
  <si>
    <t>2-346-YP043-D4</t>
  </si>
  <si>
    <t>2-399-UZ011-D1</t>
  </si>
  <si>
    <t>2-404-ANTRIEB18-KW</t>
  </si>
  <si>
    <t>2-404-ANTRIEB19-KW</t>
  </si>
  <si>
    <t>2-404-ANTRIEB20-KW</t>
  </si>
  <si>
    <t>2-404-ANTRIEB21-KW</t>
  </si>
  <si>
    <t>2-404-NC011_1-IST_POS</t>
  </si>
  <si>
    <t>2-404-NC011_2-IST_POS</t>
  </si>
  <si>
    <t>2-504-ANTRIEB22-KW</t>
  </si>
  <si>
    <t>2-504-ANTRIEB23-KW</t>
  </si>
  <si>
    <t>2-504-ANTRIEB24-KW</t>
  </si>
  <si>
    <t>2-504-ANTRIEB25-KW</t>
  </si>
  <si>
    <t>2-504-ANTRIEB26</t>
  </si>
  <si>
    <t>2-504-PI003-X</t>
  </si>
  <si>
    <t>2-604-ANTRIEB31-KW</t>
  </si>
  <si>
    <t>2-604-ANTRIEB32-KW</t>
  </si>
  <si>
    <t>2-604-ANTRIEB33-KW</t>
  </si>
  <si>
    <t>2-604-ANTRIEB34-KW</t>
  </si>
  <si>
    <t>2-604-ANTRIEB35-KW</t>
  </si>
  <si>
    <t>2-704-ANTRIEB36-KW</t>
  </si>
  <si>
    <t>2-704-ANTRIEB37-KW</t>
  </si>
  <si>
    <t>2-704-ANTRIEB38-KW</t>
  </si>
  <si>
    <t>2-704-ANTRIEB39-KW</t>
  </si>
  <si>
    <t>ACT_GOOD_PRD_TIME</t>
  </si>
  <si>
    <t>ACT_PRD_LOSS_TIME</t>
  </si>
  <si>
    <t>Assumed to be 12.5%</t>
  </si>
  <si>
    <t>Assumed to be 21.5%</t>
  </si>
  <si>
    <t>BIO\LI60_1_1_AI</t>
  </si>
  <si>
    <t>Calculated based on preset value and over formular (not accurate)</t>
  </si>
  <si>
    <t>Calculated with QO-REEL-CURR-AVG-WEBWIDTH * 2-008-VPOPE-AR0 * 60</t>
  </si>
  <si>
    <t>Depends on product code (see table in slides)</t>
  </si>
  <si>
    <t>differentiate( Mill Electrical Energy Consumption (accumulator) )</t>
  </si>
  <si>
    <t>FI092.01</t>
  </si>
  <si>
    <t>Fibre consumption rate at storage towers * 1.5688 - 23.1</t>
  </si>
  <si>
    <t>First 4 characters of Paper product code</t>
  </si>
  <si>
    <t xml:space="preserve">Fixative 1 expected usage * Production rate [t/h] + Fixative 2 expected usage * Production rate [t/h] </t>
  </si>
  <si>
    <t>GMC_A1_38_VERBRAUCH</t>
  </si>
  <si>
    <t>GMC_A1_46_0.7KV-RSM2-RUECK</t>
  </si>
  <si>
    <t>GUD\2-199-UZ011-D1/MELD.EXT_FLT1</t>
  </si>
  <si>
    <t>If Paper Grade Category = Medium+ then 25% else 0%</t>
  </si>
  <si>
    <t>If Paper Grade Category = Medium+ then 75% else 100%</t>
  </si>
  <si>
    <t>If Paper product code between 4000000 and 6030000 then Medium+, else Other</t>
  </si>
  <si>
    <t>If total bentonite consumption rate (reconciled) &lt; 80, set value = 0</t>
  </si>
  <si>
    <t>If total defoamer consumption rate (reconciled) &lt; 3, set value = 0</t>
  </si>
  <si>
    <t>If total dry strength agent consumption rate (reconciled) &lt; 40, set value = 0</t>
  </si>
  <si>
    <t>If total NaOH consumption rate (reconciled) &lt; 35, set value = 0</t>
  </si>
  <si>
    <t>If total retention aid consumption rate (reconciled) &lt; 4  , set value = 0</t>
  </si>
  <si>
    <t>If total sizing agent consumption rate (reconciled) &lt; 18, set value = 0</t>
  </si>
  <si>
    <t>Last 3 characters of Paper product code</t>
  </si>
  <si>
    <t>LAST_REEL_GOODPRDTIME</t>
  </si>
  <si>
    <t>Leimungsmittedosierung feste Walze MW + Leimungsmittedosierung bewegliche Walze MW</t>
  </si>
  <si>
    <t>MC SF/LF Demand - Whitewater solids flow - Approach flow returns</t>
  </si>
  <si>
    <t>Menge NaOH zum Pulper MW + SP1: 1-000-FC028_02    NaOH-Dosierung Kurzfaser-SF :  MESSWE + SP1: 1-000-FC028_03    NaOH-Dosierung Langfaser-SF :  MESSWE</t>
  </si>
  <si>
    <t>Mengenregelung Entlüfter : MESSWERT      [0..40 l/h] + Entschäumermenge FW + Entschäumermenge BW</t>
  </si>
  <si>
    <t>PM1_ABRISS-ERKENNUNG &gt; 0</t>
  </si>
  <si>
    <t>PRODUCTION-RATE1</t>
  </si>
  <si>
    <t>QLS-REEL-BW-CUR</t>
  </si>
  <si>
    <t>QLS-REEL-ID-CUR</t>
  </si>
  <si>
    <t>QLS-REEL-MOISTURE1-LAST</t>
  </si>
  <si>
    <t>QLS-REEL-TURNUP</t>
  </si>
  <si>
    <t>QLS-REEL-TURNUP-SCA</t>
  </si>
  <si>
    <t>QLS-REEL-WIDTH-AVG</t>
  </si>
  <si>
    <t>QO_TAMBOURGEWICHT</t>
  </si>
  <si>
    <t>QO-REEL-BW-LAST</t>
  </si>
  <si>
    <t>QO-REEL-WEIGHT-LAST</t>
  </si>
  <si>
    <t>Retentionsmittelmenge [0..9000 l/h] * retention aid consistency</t>
  </si>
  <si>
    <t>Rt B001 Pulper =(145* Niveau Stofflöser[%]/100 * Stoffdichte Stofflöser[%] /100) /MC demand flows [t/h]</t>
  </si>
  <si>
    <t>Rt B05 Fractionation feed chest = 60*(180*Niveau B05[%]/100) /Sum frac flows [m3/h]</t>
  </si>
  <si>
    <t>Rt B06 SF storage tank = (612*Niveau Kurzfaserbuette B06 ME/100)/Kurzfaser von B06 : Messwert [0..20000 l/min]/1000</t>
  </si>
  <si>
    <t>Rt B07 LF storage tank=(612* Niveau B07 LF MW[%]/100)/ Langfaser von B07 : Messwert [0..10000 l/min]/1000</t>
  </si>
  <si>
    <t>Rt B33 Machine chest B33=(180*Niveau Maschinenbütte [%]/100)/Durchfluss zum Stoffauflauf aus Maschinenbütte [l/min]/1000</t>
  </si>
  <si>
    <t>Starch consumption rate bottom roll [t/h] + Starch consumption rate top roll [t/h]</t>
  </si>
  <si>
    <t>Steam from power plant [t/h] – steam to starch kitchen [t/h] – steam to hood heat recovery [t/h] – steam to machine hall heating [t/h] – steam to steam box [t/h] – steam to white water [t/h]</t>
  </si>
  <si>
    <t>Steam to drying hood [t/h] – Steam to after-dryers [t/h]</t>
  </si>
  <si>
    <t>Storage tank solids target * Starch flow to working tank bottom roll [m3/h]</t>
  </si>
  <si>
    <t>Storage tank solids target * Starch flow to working tank top roll [m3/h]</t>
  </si>
  <si>
    <t>Subtraction of TAG 2-000-2A1J19-P with all Tags Pre-Drying Section and PostDrying Section, SpeedSizer and Popereel cant be seperated</t>
  </si>
  <si>
    <t>sum(Electrical Consumption Rate cell 1 to 4)</t>
  </si>
  <si>
    <t>sum(Electrical Consumption Wire Section, Press and Steambox, Winders + PM Freq Converters 1 to 3, Other PM 1 to 10, Generation Winders, Predryers sensor 10 to 25, Afterdryers sensor 1 to 9)</t>
  </si>
  <si>
    <t>Total bentonite consumption rate * 0.6122 + 48065/(24*30)</t>
  </si>
  <si>
    <t>Total defoamer consumption rate * 0.8703 + 1450.4/(24*30)</t>
  </si>
  <si>
    <t>Total dry strength agent consumption rate * 0.9768 + 25939/(24*30)</t>
  </si>
  <si>
    <t>Total NaOH consumption rate * 1.2199 + 22754/(24*30)</t>
  </si>
  <si>
    <t>Total retention aid consumption rate * 0.9892 + 1963.5/(24*30)</t>
  </si>
  <si>
    <t>Total sizing agent consumption rate * 0.8642 + 11273/(24*30)</t>
  </si>
  <si>
    <t>Total starch consumption rate * 1.0844 + 1.1932/24</t>
  </si>
  <si>
    <t>Trockenverfestigermenge feste Walze + Trockenverfestigermenge bewegliche Walze</t>
  </si>
  <si>
    <t>WASSERBILANZ</t>
  </si>
  <si>
    <t>Grand Total</t>
  </si>
  <si>
    <t>Sensor/Calculation Tag</t>
  </si>
  <si>
    <t>IDI Tags</t>
  </si>
  <si>
    <t>R&amp;D Tags</t>
  </si>
  <si>
    <t>TAGS THAT MATCH (R&amp;D = IDI)</t>
  </si>
  <si>
    <t>Out of 588 tags 300 match from R&amp;D</t>
  </si>
  <si>
    <t>so 24 R&amp;D tags are not in the IDI</t>
  </si>
  <si>
    <t>DOES R&amp;D = IDI?</t>
  </si>
  <si>
    <t>284 R&amp;D tags match IDI</t>
  </si>
  <si>
    <t>65 R&amp;D Tags are not in the IDI</t>
  </si>
  <si>
    <t>QO_TSI_CD</t>
  </si>
  <si>
    <t>QO_ZUGSTEIFIGK_CD</t>
  </si>
  <si>
    <t>QO_ZUGSTEIFIGK_MD</t>
  </si>
  <si>
    <t>QO_CMTBERECH</t>
  </si>
  <si>
    <t>QO_COBB</t>
  </si>
  <si>
    <t>QO_B-WERT</t>
  </si>
  <si>
    <t>QO_A-WERT</t>
  </si>
  <si>
    <t>QO_L_WERT</t>
  </si>
  <si>
    <t>QO_TSI_MD</t>
  </si>
  <si>
    <t>IDI</t>
  </si>
  <si>
    <t>TAGS NEW R&amp;D</t>
  </si>
  <si>
    <t>IS R&amp;D Tag in IDI?</t>
  </si>
  <si>
    <t>588 IDI tags &amp; calcs</t>
  </si>
  <si>
    <t>300 R&amp;D Tags in IDI</t>
  </si>
  <si>
    <t>366 tags R&amp;D</t>
  </si>
  <si>
    <t>66 tags not in IDI</t>
  </si>
  <si>
    <t>TAGS</t>
  </si>
  <si>
    <t>tag corrected</t>
  </si>
  <si>
    <t>TAG DESC/NAME</t>
  </si>
  <si>
    <t>TAG DESC/NAME ENGLISH TRANSLATION/STANDARDISATION IF NEEDED</t>
  </si>
  <si>
    <t>UNITS</t>
  </si>
  <si>
    <t>ASSET</t>
  </si>
  <si>
    <t>Asset Component</t>
  </si>
  <si>
    <t>Asset Sub-Component</t>
  </si>
  <si>
    <t>MBS</t>
  </si>
  <si>
    <t>Autoline</t>
  </si>
  <si>
    <t>66 tags R&amp;D want adding to IDI</t>
  </si>
  <si>
    <t>PM1</t>
  </si>
  <si>
    <t>Popereel</t>
  </si>
  <si>
    <t>IN IDI is this tag 2-008-FC083_01-X</t>
  </si>
  <si>
    <t>Retention agent quantity</t>
  </si>
  <si>
    <t>Approach Flow</t>
  </si>
  <si>
    <t>Polymer system</t>
  </si>
  <si>
    <t>Fixative Setpoint</t>
  </si>
  <si>
    <t>Fixative Dry Waste</t>
  </si>
  <si>
    <t>Starch uptake by paper Top Roll</t>
  </si>
  <si>
    <t>g/m²</t>
  </si>
  <si>
    <t>Speedsizer</t>
  </si>
  <si>
    <t>Paper break status</t>
  </si>
  <si>
    <t>Purate Running Feedback (Measured Value)</t>
  </si>
  <si>
    <t>CO2 Dosage Deculator 1</t>
  </si>
  <si>
    <t>kg/h</t>
  </si>
  <si>
    <t>CO2 Dosage Deculator 2</t>
  </si>
  <si>
    <t>CO2 dosage bio-backwater</t>
  </si>
  <si>
    <t>In IDI appears 2-009-FI200_01_2</t>
  </si>
  <si>
    <t>Steam flow to After Dryers</t>
  </si>
  <si>
    <t>Dryer section</t>
  </si>
  <si>
    <t>Afterdryers</t>
  </si>
  <si>
    <t>Starch consumption Bottom</t>
  </si>
  <si>
    <t>Starch consumption Top</t>
  </si>
  <si>
    <t>Current working width</t>
  </si>
  <si>
    <t>cm</t>
  </si>
  <si>
    <t>Starch Top Roll</t>
  </si>
  <si>
    <t>ml/m²</t>
  </si>
  <si>
    <t>Starch Bottom Roll</t>
  </si>
  <si>
    <t>Current reel moisture average (SpeedSizer)</t>
  </si>
  <si>
    <t>In IDI appears 2-009-FI200_01_5-X</t>
  </si>
  <si>
    <t>Starch kitchen</t>
  </si>
  <si>
    <t>in IDI corrected Tag</t>
  </si>
  <si>
    <t>Pre-Drying Group</t>
  </si>
  <si>
    <t>Uhle box 1 flow</t>
  </si>
  <si>
    <t>Press Section</t>
  </si>
  <si>
    <t>Uhle box 2 flow</t>
  </si>
  <si>
    <t>Deculator</t>
  </si>
  <si>
    <t>in IDI corrected tag number</t>
  </si>
  <si>
    <t>Stock Preparation</t>
  </si>
  <si>
    <t>Pulper Reject</t>
  </si>
  <si>
    <t>LF Screening</t>
  </si>
  <si>
    <t xml:space="preserve">in IDI other tag </t>
  </si>
  <si>
    <t>Freshwater warm</t>
  </si>
  <si>
    <t>Water Management</t>
  </si>
  <si>
    <t>Freshwater retention</t>
  </si>
  <si>
    <t>Freshwater to Machine Tank</t>
  </si>
  <si>
    <t>Freshwater pressure from the city</t>
  </si>
  <si>
    <t>Geo-Location</t>
  </si>
  <si>
    <t>Organisation</t>
  </si>
  <si>
    <t>Plant</t>
  </si>
  <si>
    <t xml:space="preserve">Asset </t>
  </si>
  <si>
    <t>Asset Sub-Component 2</t>
  </si>
  <si>
    <t>Sensor/Calculation Tag in IDI</t>
  </si>
  <si>
    <t>Correct Naming of Tag!</t>
  </si>
  <si>
    <t>Sensor/Calculation Description</t>
  </si>
  <si>
    <t>Unit of Measure</t>
  </si>
  <si>
    <t>Sensor Attribute (TERA Cost Category)</t>
  </si>
  <si>
    <t>TERA COSTS? [Y/N]</t>
  </si>
  <si>
    <t>X5P4+WW</t>
  </si>
  <si>
    <t>AS-00</t>
  </si>
  <si>
    <t>Aschaffenburg Paper</t>
  </si>
  <si>
    <t>Pulper</t>
  </si>
  <si>
    <t>Cylinders</t>
  </si>
  <si>
    <t>Steambox</t>
  </si>
  <si>
    <t xml:space="preserve">2-009-FI208.01-X </t>
  </si>
  <si>
    <t>Steam to steambox</t>
  </si>
  <si>
    <t>Thermal</t>
  </si>
  <si>
    <t>Y</t>
  </si>
  <si>
    <t>2-009-FI200_01_7-X</t>
  </si>
  <si>
    <t>Steam to machine hall heating</t>
  </si>
  <si>
    <t>** Updated in "KM, AB, ZN, WH IDI - UPDATED" see them in yellow on this document!</t>
  </si>
  <si>
    <t>Column1</t>
  </si>
  <si>
    <t>Asset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</si>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</sst>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E1F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17" fillId="15" borderId="0" applyNumberFormat="0" applyBorder="0" applyAlignment="0" applyProtection="0"/>
  </cellStyleXfs>
  <cellXfs count="9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0" fontId="6" fillId="6" borderId="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5" borderId="0" xfId="2"/>
    <xf numFmtId="0" fontId="3" fillId="4" borderId="0" xfId="1"/>
    <xf numFmtId="0" fontId="4" fillId="5" borderId="6" xfId="2" applyBorder="1" applyAlignment="1">
      <alignment horizontal="center" vertical="center" wrapText="1"/>
    </xf>
    <xf numFmtId="0" fontId="3" fillId="4" borderId="6" xfId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" fillId="5" borderId="0" xfId="2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/>
    </xf>
    <xf numFmtId="0" fontId="10" fillId="0" borderId="0" xfId="0" applyFont="1"/>
    <xf numFmtId="0" fontId="1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7" fillId="15" borderId="1" xfId="3" applyBorder="1" applyAlignment="1">
      <alignment horizontal="center" vertical="center" wrapText="1"/>
    </xf>
    <xf numFmtId="0" fontId="16" fillId="4" borderId="0" xfId="1" applyFont="1" applyAlignment="1">
      <alignment horizontal="center"/>
    </xf>
    <xf numFmtId="0" fontId="18" fillId="16" borderId="1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0" fillId="0" borderId="1" xfId="0" applyFont="1" applyFill="1" applyBorder="1"/>
    <xf numFmtId="0" fontId="0" fillId="0" borderId="1" xfId="0" applyFill="1" applyBorder="1"/>
    <xf numFmtId="0" fontId="0" fillId="3" borderId="12" xfId="0" applyFont="1" applyFill="1" applyBorder="1"/>
    <xf numFmtId="0" fontId="0" fillId="3" borderId="13" xfId="0" applyFont="1" applyFill="1" applyBorder="1"/>
    <xf numFmtId="0" fontId="0" fillId="0" borderId="6" xfId="0" applyFont="1" applyFill="1" applyBorder="1"/>
    <xf numFmtId="0" fontId="0" fillId="3" borderId="1" xfId="0" applyFont="1" applyFill="1" applyBorder="1"/>
    <xf numFmtId="0" fontId="0" fillId="3" borderId="6" xfId="0" applyFont="1" applyFill="1" applyBorder="1"/>
    <xf numFmtId="0" fontId="0" fillId="3" borderId="1" xfId="0" applyFill="1" applyBorder="1"/>
    <xf numFmtId="0" fontId="0" fillId="3" borderId="14" xfId="0" applyFont="1" applyFill="1" applyBorder="1"/>
    <xf numFmtId="0" fontId="0" fillId="0" borderId="0" xfId="0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3" borderId="13" xfId="0" applyFont="1" applyFill="1" applyBorder="1" applyAlignment="1">
      <alignment horizontal="center"/>
    </xf>
    <xf numFmtId="0" fontId="0" fillId="0" borderId="15" xfId="0" applyFont="1" applyFill="1" applyBorder="1"/>
    <xf numFmtId="0" fontId="12" fillId="3" borderId="16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27">
    <dxf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</dxf>
    <dxf>
      <border outline="0"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</dxf>
    <dxf>
      <border outline="0"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 Morgan" refreshedDate="45705.511125231482" createdVersion="8" refreshedVersion="8" minRefreshableVersion="3" recordCount="620" xr:uid="{8EDD1420-E77A-41DE-9907-64F58E0820C5}">
  <cacheSource type="worksheet">
    <worksheetSource ref="H1:I1048576" sheet="New List of Tags vs IDI"/>
  </cacheSource>
  <cacheFields count="2">
    <cacheField name="Sensor/Calculation Tag" numFmtId="0">
      <sharedItems containsBlank="1" count="559">
        <s v="1-000-A001_37-X"/>
        <s v="1-000-A001_38-X"/>
        <s v="1-000-A004_3-X"/>
        <s v="1-000-A005_10-WG"/>
        <s v="1-000-A005_11-WG"/>
        <s v="1-000-A005_11-X"/>
        <s v="1-000-A005_15-WG"/>
        <s v="1-000-A005_15-X"/>
        <s v="1-000-A005_40-N"/>
        <s v="1-000-A005_9-WG"/>
        <s v="1-000-CC001_30-X"/>
        <s v="1-000-CC002_1-X"/>
        <s v="1-000-CC005_1_1-X"/>
        <s v="1-000-CC005_1_2-X"/>
        <s v="1-000-CC005_1_3-X"/>
        <s v="1-000-CC006_01-X"/>
        <s v="1-000-CC007_01-X"/>
        <s v="1-000-EI002_1-X"/>
        <s v="1-000-EI003_1-X"/>
        <s v="1-000-EI004_1-X"/>
        <s v="1-000-EI004_2-X"/>
        <s v="1-000-EI005_10-X"/>
        <s v="1-000-EI005_9_2-X"/>
        <s v="1-000-FC002_1-X"/>
        <s v="1-000-FC003_1-X"/>
        <s v="1-000-FC005_10-X"/>
        <s v="1-000-FC005_12-X"/>
        <s v="1-000-FC005_14-X"/>
        <s v="1-000-FC005_16-X"/>
        <s v="1-000-FC005_17-X"/>
        <s v="1-000-FC005_1-X"/>
        <s v="1-000-FC005_2-X"/>
        <s v="1-000-FC005_3-X"/>
        <s v="1-000-FC005_4-X"/>
        <s v="1-000-FC005_8_1-X"/>
        <s v="1-000-FC005_8_2-X"/>
        <s v="1-000-FC005_9_2-X"/>
        <s v="1-000-FC011_20-X"/>
        <s v="1-000-FC016_1-X"/>
        <s v="1-000-FC018_2-X"/>
        <s v="1-000-FC028_01-X"/>
        <s v="1-000-FC028_02-X"/>
        <s v="1-000-FC028_03-X"/>
        <s v="1-000-FI000_2-X"/>
        <s v="1-000-FI005_1_1-X"/>
        <s v="1-000-FI005_1_3-X"/>
        <s v="1-000-FI005_10-X"/>
        <s v="1-000-FI005_12-X"/>
        <s v="1-000-FI005_2_1-X"/>
        <s v="1-000-FI005_3_1-X"/>
        <s v="1-000-FI005_4_1-X"/>
        <s v="1-000-FI005_40-X"/>
        <s v="1-000-FI005_41-X"/>
        <s v="1-000-FI005_42-X"/>
        <s v="1-000-FI005_5_1-X"/>
        <s v="1-000-FI005_50-X"/>
        <s v="1-000-FI005_51-X"/>
        <s v="1-000-FI005_9_1-X"/>
        <s v="1-000-H001_50-STATE"/>
        <s v="1-000-LC001_30-X"/>
        <s v="1-000-LC004_1-LCV2-Y"/>
        <s v="1-000-LC005_40-X"/>
        <s v="1-000-LC005_50-X"/>
        <s v="1-000-LC011_2-X"/>
        <s v="1-000-LI002_1-X"/>
        <s v="1-000-LI002_2-X"/>
        <s v="1-000-LI006_1-X"/>
        <s v="1-000-LI007_01_1-X"/>
        <s v="1-000-P001_30_1-N_IST%"/>
        <s v="1-000-P001_30_2-N_IST%"/>
        <s v="1-000-P002_2-X"/>
        <s v="1-000-P005_1_1-Y"/>
        <s v="1-000-P005_1_2-Y"/>
        <s v="1-000-P005_1_3-Y"/>
        <s v="1-000-P006_1-X"/>
        <s v="1-000-PC004_1_1-X"/>
        <s v="1-000-PC004_2_1-X"/>
        <s v="1-000-PC004_3_1-X"/>
        <s v="1-000-PC004_3_2-X"/>
        <s v="1-000-PC005_1_1-X"/>
        <s v="1-000-PC005_1_3-X"/>
        <s v="1-000-PC005_1_5-X"/>
        <s v="1-000-PI001_30-X"/>
        <s v="1-000-PI002_2DP-X"/>
        <s v="1-000-PI003_11DP-X"/>
        <s v="1-000-PI004_1_2-X"/>
        <s v="1-000-PI004_2_2-X"/>
        <s v="1-000-PI005_10DP-X"/>
        <s v="1-000-PI005_12DP-X"/>
        <s v="1-000-PI005_18DP-X"/>
        <s v="1-000-PI005_40-X"/>
        <s v="1-000-PI005_41-X"/>
        <s v="1-000-PI005_50-X"/>
        <s v="1-000-PI005_51-X"/>
        <s v="1-000-PI005_9_1DP-X"/>
        <s v="1-000-QC005_40-X"/>
        <s v="1-000-QI005_10-X"/>
        <s v="1-000-QI005_11-X"/>
        <s v="1-000-QI005_15-X"/>
        <s v="1-000-QI011_1-X"/>
        <s v="1-000-QI016_1-X"/>
        <s v="1-000-R001_30-N_IST%"/>
        <s v="1-000-SC003_1-X"/>
        <s v="1-000-TC025_01-X"/>
        <s v="1-000-TC025_02-X"/>
        <s v="2-000-2A1J13-P"/>
        <s v="2-000-2A1J15-P"/>
        <s v="2-000-2A1J16-P"/>
        <s v="2-000-2A1J17-P"/>
        <s v="2-000-2A1J18-P"/>
        <s v="2-000-2A1J19-P"/>
        <s v="2-000-2A1J20-P"/>
        <s v="2-000-2A1J21-P"/>
        <s v="2-000-2A1J22-P"/>
        <s v="2-000-2A1J23-P"/>
        <s v="2-000-2A1J24-P"/>
        <s v="2-000-2A1J25-P"/>
        <s v="2-000-2A1J26-P"/>
        <s v="2-000-2A1J27-P"/>
        <s v="2-000-2A1J28-P"/>
        <s v="2-000-2A1J33-P"/>
        <s v="2-000-2A1J34-P"/>
        <s v="2-000-2A1J36-P"/>
        <s v="2-000-2A1J37-P"/>
        <s v="2-003-UZ001-MD_SPEED-X"/>
        <s v="2-006-GI010_01-X"/>
        <s v="2-006-GI011_01-X"/>
        <s v="2-007-UZ001-TAMBOUR_NR"/>
        <s v="2-008-A041_10-X"/>
        <s v="2-008-A041_30-I1-X"/>
        <s v="2-008-CC031_01-X"/>
        <s v="2-008-CC040_01-X"/>
        <s v="2-008-CI033_01-X"/>
        <s v="2-008-FC031_01-X"/>
        <s v="2-008-FC031_02-X"/>
        <s v="2-008-FC031_04-X"/>
        <s v="2-008-FC080_01_1-X"/>
        <s v="2-008-FC080_01_2-X"/>
        <s v="2-008-FC080_04_2-X"/>
        <s v="2-008-FC080_04_4-X"/>
        <s v="2-008-FC080_10_1-X"/>
        <s v="2-008-FC080_10_2-X"/>
        <s v="2-008-FC080_10_3-X"/>
        <s v="2-008-FC083_01-X"/>
        <s v="2-008-FC086_01-X"/>
        <s v="2-008-FC087_01-X"/>
        <s v="2-008-FC088-X"/>
        <s v="2-008-FI033_01-X"/>
        <s v="2-008-FI080_03_3-X"/>
        <s v="2-008-FI080_03_4-X"/>
        <s v="2-008-FI087_11-X"/>
        <s v="2-008-FI087_21-X"/>
        <s v="2-008-FI087_22-X"/>
        <s v="2-008-FI087_23-X"/>
        <s v="2-008-FI087_24-X"/>
        <s v="2-008-HC041_10_1-Y"/>
        <s v="2-008-HC041_30_1-Y"/>
        <s v="2-008-KT-SAS-ON"/>
        <s v="2-008-KT-S-ON"/>
        <s v="2-008-LC031_01-X"/>
        <s v="2-008-LC033_01-X"/>
        <s v="2-008-LC041_05_1-X"/>
        <s v="2-008-LC041_25_1-X"/>
        <s v="2-008-LC046_01-X"/>
        <s v="2-008-LC049_01-X"/>
        <s v="2-008-P041_10-XI"/>
        <s v="2-008-P041_30-XI"/>
        <s v="2-008-PC041.11-X-STRAHL-SIEB"/>
        <s v="2-008-PC041_11-Q"/>
        <s v="2-008-PC041_11TS-X"/>
        <s v="2-008-PC041_11-X"/>
        <s v="2-008-PC088-X"/>
        <s v="2-008-PD041_10_1-X"/>
        <s v="2-008-PD041_30_1-X"/>
        <s v="2-008-PD080_10_1-X"/>
        <s v="2-008-PD083_01-X"/>
        <s v="2-008-PD087_01-X"/>
        <s v="2-008-PD087_11-X"/>
        <s v="2-008-PD087_21-X"/>
        <s v="2-008-PI041_05_1-X"/>
        <s v="2-008-PI041_12-X"/>
        <s v="2-008-PI041_25_1-X"/>
        <s v="2-008-PI087_01-X"/>
        <s v="2-008-PI087_02-X"/>
        <s v="2-008-PI087_11-X"/>
        <s v="2-008-PI087_21-X"/>
        <s v="2-008-PI807_01-X"/>
        <s v="2-008-QC041_30_2-X"/>
        <s v="2-008-QI033_01-X"/>
        <s v="2-008-QI041.05.02-X"/>
        <s v="2-008-QI041.25.01-X"/>
        <s v="2-008-QI041_05_02-X"/>
        <s v="2-008-QI041_10_2-X"/>
        <s v="2-008-QI041_11-X"/>
        <s v="2-008-QI041_25_01-X"/>
        <s v="2-008-QI041_25_02-X"/>
        <s v="2-008-QI041_30_01-X"/>
        <s v="2-008-QI041_30_03-X"/>
        <s v="2-008-QI041_30_04-X"/>
        <s v="2-008-QI042_01-X"/>
        <s v="2-008-QI046_01-X"/>
        <s v="2-008-QI046_02-X"/>
        <s v="2-008-QI049_01-X"/>
        <s v="2-008-QI049_02-X"/>
        <s v="2-008-QI049_03-X"/>
        <s v="2-008-RET_GESAMT-X"/>
        <s v="2-008-TI041_05_1-X"/>
        <s v="2-008-TI041_25_1-X"/>
        <s v="2-008-VPOPE-AR0"/>
        <s v="2-009-FI200_01_1-X"/>
        <s v="2-009-FI200_01_2"/>
        <s v="2-009-Fi200_01_4"/>
        <s v="2-009-FI200_01_5-X"/>
        <s v="2-009-FI200_01_6"/>
        <s v="2-009-FI200_01_7"/>
        <s v="2-009-FI201_02"/>
        <s v="2-009-FI203_01"/>
        <s v="2-009-FI205_01"/>
        <s v="2-009-FI210_01-X"/>
        <s v="2-009-PC200_01-PCV2-W"/>
        <s v="2-009-PC200_01-X"/>
        <s v="2-009-PC200_02-X"/>
        <s v="2-009-PC200_03_2-X"/>
        <s v="2-009-PC200_03_3-X"/>
        <s v="2-009-PC200_04-X"/>
        <s v="2-009-PC200_05-X"/>
        <s v="2-009-PC200_11"/>
        <s v="2-009-PC200_12"/>
        <s v="2-009-PC201_01-X"/>
        <s v="2-009-PC201_02-X"/>
        <s v="2-009-PC201_03-X"/>
        <s v="2-009-PC201_04-X"/>
        <s v="2-009-PC201_05-X"/>
        <s v="2-009-PC204_01-X"/>
        <s v="2-009-PC204_02-X"/>
        <s v="2-009-PC204_03-X"/>
        <s v="2-009-PC204_04-X"/>
        <s v="2-009-PD201_01-X"/>
        <s v="2-009-PD201_03-X"/>
        <s v="2-009-PD201_04-X"/>
        <s v="2-009-PD201_05-X"/>
        <s v="2-009-PD202_01-X"/>
        <s v="2-009-PD202_02-X"/>
        <s v="2-009-PD203_01-X"/>
        <s v="2-009-PD204_01-X"/>
        <s v="2-009-PD204_02-X"/>
        <s v="2-009-PD204_03-X"/>
        <s v="2-009-PD204_04-X"/>
        <s v="2-009-PD205_01-X"/>
        <s v="2-009-TC201_01-X"/>
        <s v="2-009-TI209_01-X"/>
        <s v="2-028-P304_01-X"/>
        <s v="2-028-P305_01-X"/>
        <s v="2-028-P306_01-X"/>
        <s v="2-028-P307_01-X"/>
        <s v="2-028-P308_01-X"/>
        <s v="2-033-FC100-X"/>
        <s v="2-033-FC150-X"/>
        <s v="2-033-FC200-X"/>
        <s v="2-033-FC250-X"/>
        <s v="2-033-FI100-D3"/>
        <s v="2-033-FI100-G_M2"/>
        <s v="2-033-FI100-G_M2 (Value can be inaccurate due to system fluctuations)."/>
        <s v="2-033-FI100-X"/>
        <s v="2-033-FI200-G_M2 (Value can be inaccurate due to system fluctuations)."/>
        <s v="2-033-FI200-X"/>
        <s v="2-033-LC100-X"/>
        <s v="2-033-LC200-X"/>
        <s v="2-033-M045-SEL"/>
        <s v="2-033-M055-SEL"/>
        <s v="2-033-NI001-X"/>
        <s v="2-033-NI002-X"/>
        <s v="2-033-PD110-X"/>
        <s v="2-033-PD210-X"/>
        <s v="2-033-PI045-X"/>
        <s v="2-033-PI055-X"/>
        <s v="2-033-PI150-X"/>
        <s v="2-033-PI250-X"/>
        <s v="2-033-TI100-X"/>
        <s v="2-033-TI200-X"/>
        <s v="2-033-UZ001-D9"/>
        <s v="2-033-UZ001-MD_SPEED-X"/>
        <s v="2-033-Y021-D7"/>
        <s v="2-033-Y041-X"/>
        <s v="2-033-Y051-X"/>
        <s v="2-033-YP021_01-X"/>
        <s v="2-033-YP021_02-X"/>
        <s v="2-033-YP021-D6"/>
        <s v="2-033-YP021-D8"/>
        <s v="2-033-YP044-X"/>
        <s v="2-033-YP054-X"/>
        <s v="2-044-MC133-X"/>
        <s v="2-044-MC233-X"/>
        <s v="2-044-MC533-X"/>
        <s v="2-044-PC104-X"/>
        <s v="2-044-PC404-X"/>
        <s v="2-044-PI712-X"/>
        <s v="2-044-TC113-X"/>
        <s v="2-044-TC213-X"/>
        <s v="2-044-TC313-X"/>
        <s v="2-044-TC413-X"/>
        <s v="2-044-TC513-X"/>
        <s v="2-044-TC714-X"/>
        <s v="2-044-TI304_NL"/>
        <s v="2-044-TI504_NL"/>
        <s v="2-044-TI704_NL"/>
        <s v="2-060-ANTRIEB42"/>
        <s v="2-060-GI056-D1"/>
        <s v="2-060-NI001-X"/>
        <s v="2-060-NI002-X"/>
        <s v="2-060-NI003-X"/>
        <s v="2-060-UZ011-941"/>
        <s v="2-060-UZ011-D1"/>
        <s v="2-060-WC050_01-X"/>
        <s v="2-060-WC050_02-X"/>
        <s v="2-060-YP045-X"/>
        <s v="2-060-YP048-X"/>
        <s v="2-060-YP052_01-X"/>
        <s v="2-060-YP052_02-X"/>
        <s v="2-076-AW1"/>
        <s v="2-076-AW2"/>
        <s v="2-076-AW3"/>
        <s v="2-076-FC011_01"/>
        <s v="2-076-FC011_01-X"/>
        <s v="2-076-FC011_02"/>
        <s v="2-076-FC011_02-X"/>
        <s v="2-076-FC015_01"/>
        <s v="2-076-FC015_01-X"/>
        <s v="2-076-FC021_01"/>
        <s v="2-076-FC021_01-X"/>
        <s v="2-076-FC021_02"/>
        <s v="2-076-FC021_02-X"/>
        <s v="2-076-FC025_01"/>
        <s v="2-076-FC025_01-X"/>
        <s v="2-076-FC030_01-X"/>
        <s v="2-076-FC050_01-X"/>
        <s v="2-076-FC061_01"/>
        <s v="2-076-FC061_01-X"/>
        <s v="2-076-FC061_02"/>
        <s v="2-076-FC061_02-X"/>
        <s v="2-076-FC065_01-X"/>
        <s v="2-076-FC25_01"/>
        <s v="2-076-LC011_01-Y"/>
        <s v="2-076-LC021_01-X"/>
        <s v="2-076-LC021_01-Y"/>
        <s v="2-076-LC030_01-X"/>
        <s v="2-076-LC061_01-X"/>
        <s v="2-076-LI050_01-X"/>
        <s v="2-076-PC040_01-X"/>
        <s v="2-076-PC050_01-X"/>
        <s v="2-076-PC070_01-X"/>
        <s v="2-076-PI021_01-X"/>
        <s v="2-076-PI030_01-X"/>
        <s v="2-076-PI061_01-X"/>
        <s v="2-076-QI050_01"/>
        <s v="2-076-SCHNECKEN-X"/>
        <s v="2-076-TC030_01-X"/>
        <s v="2-076-TI040_01-X"/>
        <s v="2-076-TI050_01-X"/>
        <s v="2-103-FI050-X"/>
        <s v="2-103-PC084-X"/>
        <s v="2-104-ANTRIEB10-KW"/>
        <s v="2-104-ANTRIEB11-KW"/>
        <s v="2-104-FI001-X"/>
        <s v="2-104-NC010_1-IST_POS"/>
        <s v="2-104-NC010_2-IST_POS"/>
        <s v="2-104-UZ001-D9"/>
        <s v="2-146-FI050-X"/>
        <s v="2-146-YP043-D6"/>
        <s v="2-199-P071_2-X"/>
        <s v="2-199-PI001-X"/>
        <s v="2-199-PI002-X"/>
        <s v="2-199-PI061-X"/>
        <s v="2-199-PI062-X"/>
        <s v="2-199-PI063-X"/>
        <s v="2-199-PI064-X"/>
        <s v="2-199-PI065-X"/>
        <s v="2-199-PI066-X"/>
        <s v="2-199-PI067-X"/>
        <s v="2-199-PI068-X"/>
        <s v="2-199-PI069-X"/>
        <s v="2-199-PI070-X"/>
        <s v="2-199-PI071-X"/>
        <s v="2-199-PI072-X"/>
        <s v="2-199-PI073-X"/>
        <s v="2-199-PI074-X"/>
        <s v="2-199-UZ011-D1"/>
        <s v="2-203-PI084-X"/>
        <s v="2-204-ANTRIEB12-KW"/>
        <s v="2-204-ANTRIEB13-KW"/>
        <s v="2-204-ANTRIEB14-KW"/>
        <s v="2-204-NC010_1-IST_POS"/>
        <s v="2-204-NC010_2-IST_POS"/>
        <s v="2-204-UZ001-D9"/>
        <s v="2-238-PC095-D2"/>
        <s v="2-238-PC096-D2"/>
        <s v="2-238-PI090-X"/>
        <s v="2-238-UZ001-D4"/>
        <s v="2-238-UZ020-915"/>
        <s v="2-246-FI050-X"/>
        <s v="2-246-YP043-D6"/>
        <s v="2-299-UZ011-D1"/>
        <s v="2-304-ANTRIEB15-KW"/>
        <s v="2-304-ANTRIEB16-KW"/>
        <s v="2-304-ANTRIEB17-KW"/>
        <s v="2-304-NC010_1-IST_POS"/>
        <s v="2-304-NC010_2-IST_POS"/>
        <s v="2-304-NC010-X"/>
        <s v="2-304-NI001-X"/>
        <s v="2-304-UZ001-D9"/>
        <s v="2-346-FI050-X"/>
        <s v="2-346-YP043-D4"/>
        <s v="2-399-UZ011-D1"/>
        <s v="2-404-ANTRIEB18-KW"/>
        <s v="2-404-ANTRIEB19-KW"/>
        <s v="2-404-ANTRIEB20-KW"/>
        <s v="2-404-ANTRIEB21-KW"/>
        <s v="2-404-NC011_1-IST_POS"/>
        <s v="2-404-NC011_2-IST_POS"/>
        <s v="2-404-NC011-X"/>
        <s v="2-404-NI010-X"/>
        <s v="2-404-UZ001-O"/>
        <s v="2-404-UZ001-U"/>
        <s v="2-504-ANTRIEB22-KW"/>
        <s v="2-504-ANTRIEB23-KW"/>
        <s v="2-504-ANTRIEB24-KW"/>
        <s v="2-504-ANTRIEB25-KW"/>
        <s v="2-504-ANTRIEB26"/>
        <s v="2-504-NI010-X"/>
        <s v="2-504-NI011-X"/>
        <s v="2-504-PI003-X"/>
        <s v="2-504-UZ001-O"/>
        <s v="2-504-UZ001-U"/>
        <s v="2-604-ANTRIEB31-KW"/>
        <s v="2-604-ANTRIEB32-KW"/>
        <s v="2-604-ANTRIEB33-KW"/>
        <s v="2-604-ANTRIEB34-KW"/>
        <s v="2-604-ANTRIEB35-KW"/>
        <s v="2-604-NI010-X"/>
        <s v="2-604-UZ001-D9"/>
        <s v="2-604-UZ001-O"/>
        <s v="2-704-ANTRIEB36-KW"/>
        <s v="2-704-ANTRIEB37-KW"/>
        <s v="2-704-ANTRIEB38-KW"/>
        <s v="2-704-ANTRIEB39-KW"/>
        <s v="2-704-NI011-X"/>
        <s v="2-704-UZ001-O"/>
        <s v="2-704-UZ001-U"/>
        <s v="3-000-FC064_01-X"/>
        <s v="ACT_GOOD_PRD_TIME"/>
        <s v="ACT_PRD_LOSS_TIME"/>
        <s v="Assumed to be 12.5%"/>
        <s v="Assumed to be 21.5%"/>
        <s v="BIO\LI60_1_1_AI"/>
        <s v="Calculated based on preset value and over formular (not accurate)"/>
        <s v="Calculated with QO-REEL-CURR-AVG-WEBWIDTH * 2-008-VPOPE-AR0 * 60"/>
        <s v="Depends on product code (see table in slides)"/>
        <s v="differentiate( Mill Electrical Energy Consumption (accumulator) )"/>
        <s v="FC031.03-TROCKENAUSSCHUSS"/>
        <s v="FI092.01"/>
        <s v="Fibre consumption rate at storage towers * 1.5688 - 23.1"/>
        <s v="First 4 characters of Paper product code"/>
        <s v="Fixative 1 expected usage * Production rate [t/h] + Fixative 2 expected usage * Production rate [t/h] "/>
        <s v="GMC_A1_38_VERBRAUCH"/>
        <s v="GMC_A1_46_0.7KV-RSM2-RUECK"/>
        <s v="GMC_A1_G1LDA10CF701_WF"/>
        <s v="GMC_A4_G1LBE20CF702_WF"/>
        <s v="GRADE_NAME"/>
        <s v="GUD\2-199-UZ011-D1/MELD.EXT_FLT1"/>
        <s v="If Paper Grade Category = Medium+ then 25% else 0%"/>
        <s v="If Paper Grade Category = Medium+ then 75% else 100%"/>
        <s v="If Paper product code between 4000000 and 6030000 then Medium+, else Other"/>
        <s v="If total bentonite consumption rate (reconciled) &lt; 80, set value = 0"/>
        <s v="If total defoamer consumption rate (reconciled) &lt; 3, set value = 0"/>
        <s v="If total dry strength agent consumption rate (reconciled) &lt; 40, set value = 0"/>
        <s v="If total NaOH consumption rate (reconciled) &lt; 35, set value = 0"/>
        <s v="If total retention aid consumption rate (reconciled) &lt; 4  , set value = 0"/>
        <s v="If total sizing agent consumption rate (reconciled) &lt; 18, set value = 0"/>
        <s v="Last 3 characters of Paper product code"/>
        <s v="LAST_REEL_GOODPRDTIME"/>
        <s v="Leimungsmittedosierung feste Walze MW + Leimungsmittedosierung bewegliche Walze MW"/>
        <s v="MC SF/LF Demand - Whitewater solids flow - Approach flow returns"/>
        <s v="Menge NaOH zum Pulper MW + SP1: 1-000-FC028_02    NaOH-Dosierung Kurzfaser-SF :  MESSWE + SP1: 1-000-FC028_03    NaOH-Dosierung Langfaser-SF :  MESSWE"/>
        <s v="Mengenregelung Entlüfter : MESSWERT      [0..40 l/h] + Entschäumermenge FW + Entschäumermenge BW"/>
        <s v="PM1_2-103-PI090-X"/>
        <s v="PM1_2-103-PI091-X"/>
        <s v="PM1_2-103-PI092-X"/>
        <s v="PM1_2-138-FI092-X"/>
        <s v="PM1_2-138-FI094-X"/>
        <s v="PM1_2-138-FI096-X"/>
        <s v="PM1_2-138-PC093-X"/>
        <s v="PM1_2-138-PC095-X"/>
        <s v="PM1_2-146-YP043_01-X"/>
        <s v="PM1_2-146-YP043_02-X"/>
        <s v="PM1_2-238-PC092-X"/>
        <s v="PM1_2-238-PC093-X"/>
        <s v="PM1_2-238-PC094-X"/>
        <s v="PM1_2-238-PC095-X"/>
        <s v="PM1_2-238-PC096-X"/>
        <s v="PM1_2-238-PC097-X"/>
        <s v="PM1_2-238-PI091-X"/>
        <s v="PM1_2-246-YP043_01-X"/>
        <s v="PM1_2-246-YP043_02-X"/>
        <s v="PM1_2-346-YP043-X"/>
        <s v="PM1_ABRISS-ERKENNUNG"/>
        <s v="PM1_ABRISS-ERKENNUNG &gt; 0"/>
        <s v="PRODUCTION-RATE"/>
        <s v="PRODUCTION-RATE1"/>
        <s v="QLS-REEL-BW-CUR"/>
        <s v="QLS-REEL-ID-CUR"/>
        <s v="QLS-REEL-MOISTURE1-CUR"/>
        <s v="QLS-REEL-MOISTURE1-LAST"/>
        <s v="QLS-REEL-TURNUP"/>
        <s v="QLS-REEL-TURNUP-SCA"/>
        <s v="QLS-REEL-WIDTH-AVG"/>
        <s v="QLS-REEL-WIDTH-CUR"/>
        <s v="QMS11_2-008-QC041.05.01-X"/>
        <s v="QMS11_2-044-MC333-W"/>
        <s v="QMS11_2-044-MC433-X"/>
        <s v="QMS11_2-044-V111-N1"/>
        <s v="QMS11_2-044-V211-N_FU"/>
        <s v="QMS11_2-044-V311-N_FU"/>
        <s v="QMS11_2-044-V411-N_FU"/>
        <s v="QMS11_2-044-V511-N_FU"/>
        <s v="QMS11_2-103-NC071-X"/>
        <s v="QMS11_2-138-NC071-X"/>
        <s v="QMS11_2-203-NC071-X"/>
        <s v="QMS11_2-238-NC071-X"/>
        <s v="QMS11_2-303-NC071-X"/>
        <s v="QMS11_MIC_MSTSCN2-X1"/>
        <s v="QMS11_SCN1QM1-X"/>
        <s v="QO_TAMBOURGEWICHT"/>
        <s v="QO-REEL-BW-LAST"/>
        <s v="QO-REEL-ID-CUR-CALC"/>
        <s v="QO-REEL-WEIGHT-LAST"/>
        <s v="Retentionsmittelmenge [0..9000 l/h] * retention aid consistency"/>
        <s v="Rt B001 Pulper =(145* Niveau Stofflöser[%]/100 * Stoffdichte Stofflöser[%] /100) /MC demand flows [t/h]"/>
        <s v="Rt B05 Fractionation feed chest = 60*(180*Niveau B05[%]/100) /Sum frac flows [m3/h]"/>
        <s v="Rt B06 SF storage tank = (612*Niveau Kurzfaserbuette B06 ME/100)/Kurzfaser von B06 : Messwert [0..20000 l/min]/1000"/>
        <s v="Rt B07 LF storage tank=(612* Niveau B07 LF MW[%]/100)/ Langfaser von B07 : Messwert [0..10000 l/min]/1000"/>
        <s v="Rt B33 Machine chest B33=(180*Niveau Maschinenbütte [%]/100)/Durchfluss zum Stoffauflauf aus Maschinenbütte [l/min]/1000"/>
        <s v="Starch consumption rate bottom roll [t/h] + Starch consumption rate top roll [t/h]"/>
        <s v="Steam from power plant [t/h] – steam to starch kitchen [t/h] – steam to hood heat recovery [t/h] – steam to machine hall heating [t/h] – steam to steam box [t/h] – steam to white water [t/h]"/>
        <s v="Steam to drying hood [t/h] – Steam to after-dryers [t/h]"/>
        <s v="Storage tank solids target * Starch flow to working tank bottom roll [m3/h]"/>
        <s v="Storage tank solids target * Starch flow to working tank top roll [m3/h]"/>
        <s v="Subtraction of TAG 2-000-2A1J19-P with all Tags Pre-Drying Section and PostDrying Section, SpeedSizer and Popereel cant be seperated"/>
        <s v="sum(Electrical Consumption Rate cell 1 to 4)"/>
        <s v="sum(Electrical Consumption Wire Section, Press and Steambox, Winders + PM Freq Converters 1 to 3, Other PM 1 to 10, Generation Winders, Predryers sensor 10 to 25, Afterdryers sensor 1 to 9)"/>
        <s v="Total bentonite consumption rate * 0.6122 + 48065/(24*30)"/>
        <s v="Total defoamer consumption rate * 0.8703 + 1450.4/(24*30)"/>
        <s v="Total dry strength agent consumption rate * 0.9768 + 25939/(24*30)"/>
        <s v="Total NaOH consumption rate * 1.2199 + 22754/(24*30)"/>
        <s v="Total retention aid consumption rate * 0.9892 + 1963.5/(24*30)"/>
        <s v="Total sizing agent consumption rate * 0.8642 + 11273/(24*30)"/>
        <s v="Total starch consumption rate * 1.0844 + 1.1932/24"/>
        <s v="Trockenverfestigermenge feste Walze + Trockenverfestigermenge bewegliche Walze"/>
        <s v="WASSERBILANZ"/>
        <m/>
      </sharedItems>
    </cacheField>
    <cacheField name="Tags" numFmtId="0">
      <sharedItems containsBlank="1" count="367">
        <s v="1-000-A001_35-X"/>
        <s v="1-000-A001_36-X"/>
        <s v="1-000-A001_37-X"/>
        <s v="1-000-A004_3-X"/>
        <s v="1-000-A005_11-X"/>
        <s v="1-000-CC001_1-X"/>
        <s v="1-000-CC005_1_1-X"/>
        <s v="1-000-CC005_1_2-X"/>
        <s v="1-000-CC005_1_3-X"/>
        <s v="1-000-CC006_01-X"/>
        <s v="1-000-CC007_01-X"/>
        <s v="1-000-EI002_1-X"/>
        <s v="1-000-EI004_1-X"/>
        <s v="1-000-EI004_2-X"/>
        <s v="1-000-EI005_10-X"/>
        <s v="1-000-EI005_9_1-X"/>
        <s v="1-000-FC002_1-X"/>
        <s v="1-000-FC003_1-X"/>
        <s v="1-000-FC005_10-X"/>
        <s v="1-000-FC005_11-X"/>
        <s v="1-000-FC005_13-X"/>
        <s v="1-000-FC005_14-X"/>
        <s v="1-000-FC005_1-X"/>
        <s v="1-000-FC005_2-X"/>
        <s v="1-000-FC005_3-X"/>
        <s v="1-000-FC005_4-X"/>
        <s v="1-000-FC005_8_1-X"/>
        <s v="1-000-FC005_8_2-X"/>
        <s v="1-000-FC005_9_2-X"/>
        <s v="1-000-FC028_01-X"/>
        <s v="1-000-FC028_02-X"/>
        <s v="1-000-FC028_03-X"/>
        <s v="1-000-FI005_9_1-X"/>
        <s v="1-000-PI002_2DP-X"/>
        <s v="1-000-PI003_11DP-X"/>
        <s v="1-000-QI005_10-X"/>
        <s v="1-000-QI005_11-X"/>
        <s v="1-000-TC025_01-X"/>
        <s v="1-000-TC025_02-X"/>
        <s v="2-000-2A1J13-P"/>
        <s v="2-000-2A1J15-P"/>
        <s v="2-000-2A1J16-P"/>
        <s v="2-000-2A1J17-P"/>
        <s v="2-000-2A1J18-P"/>
        <s v="2-000-2A1J19-P"/>
        <s v="2-000-2A1J20-P"/>
        <s v="2-000-2A1J21-P"/>
        <s v="2-000-2A1J22-P"/>
        <s v="2-000-2A1J23-P"/>
        <s v="2-000-2A1J24-P"/>
        <s v="2-000-2A1J25-P"/>
        <s v="2-000-2A1J26-P"/>
        <s v="2-000-2A1J27-P"/>
        <s v="2-000-2A1J28-P"/>
        <s v="2-000-2A1J33-P"/>
        <s v="2-000-2A1J34-P"/>
        <s v="2-003-UZ001-MD_SPEED-X"/>
        <s v="2-006-GI011_01-X"/>
        <s v="2-008-A041_10-X"/>
        <s v="2-008-CC031_01-X"/>
        <s v="2-008-CC040_01-X"/>
        <s v="2-008-CI033_01-X"/>
        <s v="2-008-FC031_01-X"/>
        <s v="2-008-FC031_02-X"/>
        <s v="2-008-FC031_04-X"/>
        <s v="2-008-FC080_01_1-X"/>
        <s v="2-008-FC080_01_2-X"/>
        <s v="2-008-FC080_02_3-X"/>
        <s v="2-008-FC080_04_2-X"/>
        <s v="2-008-FC080_04_4-X"/>
        <s v="2-008-FC080_10_1-X"/>
        <s v="2-008-FC080_10_2-X"/>
        <s v="2-008-FC083.01-X"/>
        <s v="2-008-FC086_01-X"/>
        <s v="2-008-FC087_01-X"/>
        <s v="2-008-FC088-X"/>
        <s v="2-008-FI033_01-X"/>
        <s v="2-008-FI080_03_3-X"/>
        <s v="2-008-FI080_03_4-X"/>
        <s v="2-008-FI087_11-X"/>
        <s v="2-008-FI087_21-X"/>
        <s v="2-008-FI087_22-X"/>
        <s v="2-008-FI087_23-X"/>
        <s v="2-008-FI087_24-X"/>
        <s v="2-008-FI807_01-X"/>
        <s v="2-008-FI807_03-X"/>
        <s v="2-008-FI807_06-X"/>
        <s v="2-008-FIXIER-SOLL"/>
        <s v="2-008-HC033_01-X"/>
        <s v="2-008-HC041_10_1-Y"/>
        <s v="2-008-HC041_30_1-Y"/>
        <s v="2-008-P041_10-XI"/>
        <s v="2-008-P041_30-XI"/>
        <s v="2-008-PC041.11-X-STRAHL-SIEB"/>
        <s v="2-008-PC041_11-Q"/>
        <s v="2-008-PC041_11TS-X"/>
        <s v="2-008-PC041_11-X"/>
        <s v="2-008-PC088-X"/>
        <s v="2-008-PD080_10_1-X"/>
        <s v="2-008-PD083_01-X"/>
        <s v="2-008-PD087_01-X"/>
        <s v="2-008-PD087_11-X"/>
        <s v="2-008-PD087_21-X"/>
        <s v="2-008-PI041_05_1-X"/>
        <s v="2-008-PI041_12-X"/>
        <s v="2-008-PI041_25_1-X"/>
        <s v="2-008-PI087_01-X"/>
        <s v="2-008-PI087_02-X"/>
        <s v="2-008-PI087_11-X"/>
        <s v="2-008-PI087_21-X"/>
        <s v="2-008-PI807_01-X"/>
        <s v="2-008-QC031_01-X"/>
        <s v="2-008-QC041_01-X"/>
        <s v="2-008-QC041_20-X"/>
        <s v="2-008-QC041_30_2-X"/>
        <s v="2-008-QI041.05.02-X"/>
        <s v="2-008-QI041.25.01-X"/>
        <s v="2-008-QI041.25.02-X"/>
        <s v="2-008-QI041_05_02-X"/>
        <s v="2-008-QI041_10_2-X"/>
        <s v="2-008-QI041_25_01-X"/>
        <s v="2-008-QI041_30_04-X"/>
        <s v="2-008-QI042_01-X"/>
        <s v="2-008-QI046_02-X"/>
        <s v="2-008-QI049_02-X"/>
        <s v="2-008-TI041_05_1-X"/>
        <s v="2-008-TI041_25_1-X"/>
        <s v="2-008-UZ080_11-PRM-X"/>
        <s v="2-008-VPOPE-AR0"/>
        <s v="2-009-FI200_01_1-X"/>
        <s v="2-009-FI209_01-X"/>
        <s v="2-009-PC200_00-X"/>
        <s v="2-009-PC200_01-PCV2-W"/>
        <s v="2-009-PC200_01-X"/>
        <s v="2-009-PC200_02-X"/>
        <s v="2-009-PC200_03_2-X"/>
        <s v="2-009-PC200_03_3-X"/>
        <s v="2-009-PC200_04-X"/>
        <s v="2-009-PC200_05-X"/>
        <s v="2-009-PC201_01-X"/>
        <s v="2-009-PC201_02-X"/>
        <s v="2-009-PC201_03-X"/>
        <s v="2-009-PC201_04-X"/>
        <s v="2-009-PC201_05-X"/>
        <s v="2-009-PC204_01-X"/>
        <s v="2-009-PC204_02-X"/>
        <s v="2-009-PC204_03-X"/>
        <s v="2-009-PC204_04-X"/>
        <s v="2-009-PD201_01-X"/>
        <s v="2-009-PD201_02-X"/>
        <s v="2-009-PD201_03-X"/>
        <s v="2-009-PD201_04-X"/>
        <s v="2-009-PD201_05-X"/>
        <s v="2-009-PD202_01-X"/>
        <s v="2-009-PD202_02-X"/>
        <s v="2-009-PD203_01-X"/>
        <s v="2-009-PD204_01-X"/>
        <s v="2-009-PD204_02-X"/>
        <s v="2-009-PD204_03-X"/>
        <s v="2-009-PD204_04-X"/>
        <s v="2-009-PD205_01-X"/>
        <s v="2-009-PI200_01_3-X"/>
        <s v="2-009-PI806_01-X"/>
        <s v="2-009-QI209_01-X"/>
        <s v="2-009-TC200_02-X"/>
        <s v="2-009-TC201_01-X"/>
        <s v="2-009-TI209_01-X"/>
        <s v="2-028-FI315_01_1-X"/>
        <s v="2-028-FI315_02_1-X"/>
        <s v="2-028-P305_01-X"/>
        <s v="2-028-P306_01-X"/>
        <s v="2-028-P308_01-X"/>
        <s v="2-033-FC100-X"/>
        <s v="2-033-FC200-X"/>
        <s v="2-033-FI100-D1-X"/>
        <s v="2-033-FI100-D2-X"/>
        <s v="2-033-FI100-D3"/>
        <s v="2-033-FI100-G_M2"/>
        <s v="2-033-FI100-X"/>
        <s v="2-033-FI200-G_M2"/>
        <s v="2-033-FI200-X"/>
        <s v="2-033-LC100-X"/>
        <s v="2-033-LC200-X"/>
        <s v="2-033-M045-SEL"/>
        <s v="2-033-M055-SEL"/>
        <s v="2-033-PD110-X"/>
        <s v="2-033-PD210-X"/>
        <s v="2-033-PI045-X"/>
        <s v="2-033-PI055-X"/>
        <s v="2-033-PI150-X"/>
        <s v="2-033-PI250-X"/>
        <s v="2-033-TI100-X"/>
        <s v="2-033-TI200-X"/>
        <s v="2-033-UZ001-MD_SPEED-X"/>
        <s v="2-033-Y041-X"/>
        <s v="2-033-Y051-X"/>
        <s v="2-033-YP021_01-X"/>
        <s v="2-033-YP021_02-X"/>
        <s v="2-033-YP044-X"/>
        <s v="2-033-YP054-X"/>
        <s v="2-044-MC133-X"/>
        <s v="2-044-MC233-X"/>
        <s v="2-044-MC533-X"/>
        <s v="2-044-PC104-X"/>
        <s v="2-044-PC404-X"/>
        <s v="2-044-PI712-X"/>
        <s v="2-044-TC113-X"/>
        <s v="2-044-TC213-X"/>
        <s v="2-044-TC313-X"/>
        <s v="2-044-TC413-X"/>
        <s v="2-044-TC513-X"/>
        <s v="2-044-TC714-X"/>
        <s v="2-044-TI304_NL"/>
        <s v="2-044-TI504_NL"/>
        <s v="2-044-TI704_NL"/>
        <s v="2-060-NI001-X"/>
        <s v="2-060-NI002-X"/>
        <s v="2-060-NI003-X"/>
        <s v="2-060-WC050_01-X"/>
        <s v="2-060-WC050_02-X"/>
        <s v="2-060-YP045-X"/>
        <s v="2-060-YP048-X"/>
        <s v="2-060-YP052_01-X"/>
        <s v="2-060-YP052_02-X"/>
        <s v="2-076-FC011_01-X"/>
        <s v="2-076-FC011_01-Y"/>
        <s v="2-076-FC011_02-X"/>
        <s v="2-076-FC011_02-Y"/>
        <s v="2-076-FC015_01-X"/>
        <s v="2-076-FC021_01-X"/>
        <s v="2-076-FC021_01-Y"/>
        <s v="2-076-FC021_02-X"/>
        <s v="2-076-FC021_02-Y"/>
        <s v="2-076-FC025_01-X"/>
        <s v="2-076-FC030_01-X"/>
        <s v="2-076-FC050_01-X"/>
        <s v="2-076-FC061_01-X"/>
        <s v="2-076-FC061_02-X"/>
        <s v="2-076-FC061_02-Y"/>
        <s v="2-076-FC065_01-X"/>
        <s v="2-076-LC011_01-X"/>
        <s v="2-076-LC011_01-Y"/>
        <s v="2-076-LC021_01-X"/>
        <s v="2-076-LC021_01-Y"/>
        <s v="2-076-LC030_01-X"/>
        <s v="2-076-LC061_01-X"/>
        <s v="2-076-LI050_01-X"/>
        <s v="2-076-PC035_01-X"/>
        <s v="2-076-PC040_01-X"/>
        <s v="2-076-PC050_01-X"/>
        <s v="2-076-PC070_01-X"/>
        <s v="2-076-PI021_01-X"/>
        <s v="2-076-PI021_02-X"/>
        <s v="2-076-PI030_01-X"/>
        <s v="2-076-PI040_01-X"/>
        <s v="2-076-PI061_01-X"/>
        <s v="2-076-QI050_01-X"/>
        <s v="2-076-SCHNECKEN-X"/>
        <s v="2-076-TC030_01-X"/>
        <s v="2-076-TI040_01-X"/>
        <s v="2-076-TI050_01-X"/>
        <s v="2-103-FI050-X"/>
        <s v="2-103-PC084-X"/>
        <s v="2-104-NC010-X"/>
        <s v="2-104-UZ001-D9"/>
        <s v="2-146-FI050-X"/>
        <s v="2-199-PI001-X"/>
        <s v="2-199-PI002-X"/>
        <s v="2-199-PI064-X"/>
        <s v="2-199-PI065-X"/>
        <s v="2-199-PI066-X"/>
        <s v="2-199-PI071-X"/>
        <s v="2-199-PI072-X"/>
        <s v="2-199-PI073-X"/>
        <s v="2-199-PI074-X"/>
        <s v="2-203-PI084-X"/>
        <s v="2-204-NC010-X"/>
        <s v="2-204-UZ001-D9"/>
        <s v="2-238-PI090-X"/>
        <s v="2-238-UZ001-D4"/>
        <s v="2-246-FI050-X"/>
        <s v="2-304-UZ001-D9"/>
        <s v="2-346-FI050-X"/>
        <s v="2-404-NC011-X"/>
        <s v="2-404-NI010-X"/>
        <s v="2-404-UZ001-O"/>
        <s v="2-404-UZ001-U"/>
        <s v="2-504-NI010-X"/>
        <s v="2-504-NI011-X"/>
        <s v="2-504-UZ001-O"/>
        <s v="2-504-UZ001-U"/>
        <s v="2-604-NI010-X"/>
        <s v="2-604-UZ001-D9"/>
        <s v="2-604-UZ001-O"/>
        <s v="2-704-NI011-X"/>
        <s v="2-704-UZ001-O"/>
        <s v="2-704-UZ001-U"/>
        <s v="3-000-FC064_01-X"/>
        <s v="FC031.03-TROCKENAUSSCHUSS"/>
        <s v="GESAMT-ENTWAESSERUNG-PRESSE"/>
        <s v="GMC_A1_G1LDA10CF701_WF"/>
        <s v="GMC_A4_G1LBE20CF702_WF"/>
        <s v="GRADE_NAME"/>
        <s v="GUD\2-009-QI209_02-X/MELD.QPV"/>
        <s v="PM1_2-103-PI090-X"/>
        <s v="PM1_2-103-PI091-X"/>
        <s v="PM1_2-103-PI092-X"/>
        <s v="PM1_2-138-FI092-X"/>
        <s v="PM1_2-138-FI094-X"/>
        <s v="PM1_2-138-FI096-X"/>
        <s v="PM1_2-138-PC093-X"/>
        <s v="PM1_2-138-PC095-X"/>
        <s v="PM1_2-146-YP043_01-X"/>
        <s v="PM1_2-146-YP043_02-X"/>
        <s v="PM1_2-238-PC092-X"/>
        <s v="PM1_2-238-PC093-X"/>
        <s v="PM1_2-238-PC094-X"/>
        <s v="PM1_2-238-PC095-X"/>
        <s v="PM1_2-238-PC096-X"/>
        <s v="PM1_2-238-PC097-X"/>
        <s v="PM1_2-238-PI091-X"/>
        <s v="PM1_2-246-YP043_01-X"/>
        <s v="PM1_2-246-YP043_02-X"/>
        <s v="PM1_2-346-YP043-X"/>
        <s v="PM1_ABRISS-ERKENNUNG"/>
        <s v="PM1-BW1-RL:GFLT.SIG"/>
        <s v="PM1-MO1-RL:GFLT.SIG"/>
        <s v="PM1-PM1-SP:GFLT.SIG"/>
        <s v="PRODUCTION-RATE"/>
        <s v="QLS-PM1-BREAK-STATUS2"/>
        <s v="QLS-REEL-DRY-CUR"/>
        <s v="QLS-REEL-MOISTURE1-CUR"/>
        <s v="QLS-REEL-MOISTURE2-CUR"/>
        <s v="QLS-REEL-WIDTH-CUR"/>
        <s v="QMS11_2-008-QC041.05.01-X"/>
        <s v="QMS11_2-009-FI200.01.2-X"/>
        <s v="QMS11_2-009-FI200.01.4-X"/>
        <s v="QMS11_2-009-FI200.01.5-X"/>
        <s v="QMS11_2-009-FI200.01.7-X"/>
        <s v="QMS11_2-009-FI208.01-X"/>
        <s v="QMS11_2-009-FI210.01-X"/>
        <s v="QMS11_2-044-MC333-W"/>
        <s v="QMS11_2-044-MC433-X"/>
        <s v="QMS11_2-044-V111-N1"/>
        <s v="QMS11_2-044-V211-N_FU"/>
        <s v="QMS11_2-044-V311-N_FU"/>
        <s v="QMS11_2-044-V411-N_FU"/>
        <s v="QMS11_2-044-V511-N_FU"/>
        <s v="QMS11_2-103-NC071-X"/>
        <s v="QMS11_2-138-NC071-X"/>
        <s v="QMS11_2-203-NC071-X"/>
        <s v="QMS11_2-238-NC071-X"/>
        <s v="QMS11_2-303-NC071-X"/>
        <s v="QMS11_MIC_MSTSCN1-X1"/>
        <s v="QMS11_MIC_MSTSCN2-X1"/>
        <s v="QMS11_SCN1QM1-X"/>
        <s v="QO_BERSTWIDERSTAND"/>
        <s v="QO_CMT"/>
        <s v="QO_SCT_CD"/>
        <s v="QO_SCT_MD"/>
        <s v="QO-REEL-CURR-AVG-WEBWIDTH"/>
        <s v="QO-REEL-ID-CUR-CALC"/>
        <s v="QO-REEL-LENGTH-CUR"/>
        <s v="QO-REEL-WEIGHT-CUR"/>
        <s v="STAERKE_BW"/>
        <s v="STAERKE_FW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3"/>
    <x v="13"/>
  </r>
  <r>
    <x v="14"/>
    <x v="14"/>
  </r>
  <r>
    <x v="15"/>
    <x v="15"/>
  </r>
  <r>
    <x v="15"/>
    <x v="16"/>
  </r>
  <r>
    <x v="15"/>
    <x v="17"/>
  </r>
  <r>
    <x v="16"/>
    <x v="18"/>
  </r>
  <r>
    <x v="16"/>
    <x v="19"/>
  </r>
  <r>
    <x v="16"/>
    <x v="20"/>
  </r>
  <r>
    <x v="17"/>
    <x v="21"/>
  </r>
  <r>
    <x v="18"/>
    <x v="22"/>
  </r>
  <r>
    <x v="19"/>
    <x v="23"/>
  </r>
  <r>
    <x v="20"/>
    <x v="24"/>
  </r>
  <r>
    <x v="21"/>
    <x v="25"/>
  </r>
  <r>
    <x v="22"/>
    <x v="26"/>
  </r>
  <r>
    <x v="23"/>
    <x v="27"/>
  </r>
  <r>
    <x v="24"/>
    <x v="28"/>
  </r>
  <r>
    <x v="25"/>
    <x v="29"/>
  </r>
  <r>
    <x v="26"/>
    <x v="30"/>
  </r>
  <r>
    <x v="27"/>
    <x v="31"/>
  </r>
  <r>
    <x v="28"/>
    <x v="32"/>
  </r>
  <r>
    <x v="29"/>
    <x v="33"/>
  </r>
  <r>
    <x v="30"/>
    <x v="34"/>
  </r>
  <r>
    <x v="31"/>
    <x v="35"/>
  </r>
  <r>
    <x v="32"/>
    <x v="36"/>
  </r>
  <r>
    <x v="33"/>
    <x v="37"/>
  </r>
  <r>
    <x v="34"/>
    <x v="38"/>
  </r>
  <r>
    <x v="35"/>
    <x v="39"/>
  </r>
  <r>
    <x v="36"/>
    <x v="40"/>
  </r>
  <r>
    <x v="37"/>
    <x v="41"/>
  </r>
  <r>
    <x v="38"/>
    <x v="42"/>
  </r>
  <r>
    <x v="39"/>
    <x v="43"/>
  </r>
  <r>
    <x v="40"/>
    <x v="44"/>
  </r>
  <r>
    <x v="41"/>
    <x v="45"/>
  </r>
  <r>
    <x v="42"/>
    <x v="46"/>
  </r>
  <r>
    <x v="43"/>
    <x v="47"/>
  </r>
  <r>
    <x v="44"/>
    <x v="48"/>
  </r>
  <r>
    <x v="45"/>
    <x v="49"/>
  </r>
  <r>
    <x v="46"/>
    <x v="50"/>
  </r>
  <r>
    <x v="47"/>
    <x v="51"/>
  </r>
  <r>
    <x v="48"/>
    <x v="52"/>
  </r>
  <r>
    <x v="49"/>
    <x v="53"/>
  </r>
  <r>
    <x v="50"/>
    <x v="54"/>
  </r>
  <r>
    <x v="51"/>
    <x v="55"/>
  </r>
  <r>
    <x v="52"/>
    <x v="56"/>
  </r>
  <r>
    <x v="53"/>
    <x v="57"/>
  </r>
  <r>
    <x v="54"/>
    <x v="58"/>
  </r>
  <r>
    <x v="55"/>
    <x v="59"/>
  </r>
  <r>
    <x v="56"/>
    <x v="60"/>
  </r>
  <r>
    <x v="57"/>
    <x v="61"/>
  </r>
  <r>
    <x v="58"/>
    <x v="62"/>
  </r>
  <r>
    <x v="59"/>
    <x v="63"/>
  </r>
  <r>
    <x v="60"/>
    <x v="64"/>
  </r>
  <r>
    <x v="61"/>
    <x v="65"/>
  </r>
  <r>
    <x v="62"/>
    <x v="66"/>
  </r>
  <r>
    <x v="63"/>
    <x v="67"/>
  </r>
  <r>
    <x v="64"/>
    <x v="68"/>
  </r>
  <r>
    <x v="65"/>
    <x v="69"/>
  </r>
  <r>
    <x v="66"/>
    <x v="70"/>
  </r>
  <r>
    <x v="67"/>
    <x v="71"/>
  </r>
  <r>
    <x v="68"/>
    <x v="72"/>
  </r>
  <r>
    <x v="69"/>
    <x v="73"/>
  </r>
  <r>
    <x v="70"/>
    <x v="74"/>
  </r>
  <r>
    <x v="71"/>
    <x v="75"/>
  </r>
  <r>
    <x v="72"/>
    <x v="76"/>
  </r>
  <r>
    <x v="73"/>
    <x v="77"/>
  </r>
  <r>
    <x v="74"/>
    <x v="78"/>
  </r>
  <r>
    <x v="75"/>
    <x v="79"/>
  </r>
  <r>
    <x v="76"/>
    <x v="80"/>
  </r>
  <r>
    <x v="77"/>
    <x v="81"/>
  </r>
  <r>
    <x v="78"/>
    <x v="82"/>
  </r>
  <r>
    <x v="79"/>
    <x v="83"/>
  </r>
  <r>
    <x v="80"/>
    <x v="84"/>
  </r>
  <r>
    <x v="81"/>
    <x v="85"/>
  </r>
  <r>
    <x v="82"/>
    <x v="86"/>
  </r>
  <r>
    <x v="83"/>
    <x v="87"/>
  </r>
  <r>
    <x v="84"/>
    <x v="88"/>
  </r>
  <r>
    <x v="85"/>
    <x v="89"/>
  </r>
  <r>
    <x v="86"/>
    <x v="90"/>
  </r>
  <r>
    <x v="87"/>
    <x v="91"/>
  </r>
  <r>
    <x v="88"/>
    <x v="92"/>
  </r>
  <r>
    <x v="89"/>
    <x v="93"/>
  </r>
  <r>
    <x v="90"/>
    <x v="94"/>
  </r>
  <r>
    <x v="91"/>
    <x v="95"/>
  </r>
  <r>
    <x v="92"/>
    <x v="96"/>
  </r>
  <r>
    <x v="93"/>
    <x v="97"/>
  </r>
  <r>
    <x v="94"/>
    <x v="98"/>
  </r>
  <r>
    <x v="95"/>
    <x v="99"/>
  </r>
  <r>
    <x v="96"/>
    <x v="100"/>
  </r>
  <r>
    <x v="97"/>
    <x v="101"/>
  </r>
  <r>
    <x v="98"/>
    <x v="102"/>
  </r>
  <r>
    <x v="99"/>
    <x v="103"/>
  </r>
  <r>
    <x v="100"/>
    <x v="104"/>
  </r>
  <r>
    <x v="101"/>
    <x v="105"/>
  </r>
  <r>
    <x v="102"/>
    <x v="106"/>
  </r>
  <r>
    <x v="103"/>
    <x v="107"/>
  </r>
  <r>
    <x v="104"/>
    <x v="108"/>
  </r>
  <r>
    <x v="105"/>
    <x v="109"/>
  </r>
  <r>
    <x v="106"/>
    <x v="110"/>
  </r>
  <r>
    <x v="107"/>
    <x v="111"/>
  </r>
  <r>
    <x v="108"/>
    <x v="112"/>
  </r>
  <r>
    <x v="109"/>
    <x v="113"/>
  </r>
  <r>
    <x v="110"/>
    <x v="114"/>
  </r>
  <r>
    <x v="111"/>
    <x v="115"/>
  </r>
  <r>
    <x v="112"/>
    <x v="116"/>
  </r>
  <r>
    <x v="113"/>
    <x v="117"/>
  </r>
  <r>
    <x v="114"/>
    <x v="118"/>
  </r>
  <r>
    <x v="115"/>
    <x v="119"/>
  </r>
  <r>
    <x v="116"/>
    <x v="120"/>
  </r>
  <r>
    <x v="117"/>
    <x v="121"/>
  </r>
  <r>
    <x v="118"/>
    <x v="122"/>
  </r>
  <r>
    <x v="119"/>
    <x v="123"/>
  </r>
  <r>
    <x v="120"/>
    <x v="124"/>
  </r>
  <r>
    <x v="121"/>
    <x v="125"/>
  </r>
  <r>
    <x v="122"/>
    <x v="126"/>
  </r>
  <r>
    <x v="123"/>
    <x v="127"/>
  </r>
  <r>
    <x v="124"/>
    <x v="128"/>
  </r>
  <r>
    <x v="125"/>
    <x v="129"/>
  </r>
  <r>
    <x v="126"/>
    <x v="130"/>
  </r>
  <r>
    <x v="127"/>
    <x v="131"/>
  </r>
  <r>
    <x v="128"/>
    <x v="132"/>
  </r>
  <r>
    <x v="129"/>
    <x v="133"/>
  </r>
  <r>
    <x v="130"/>
    <x v="134"/>
  </r>
  <r>
    <x v="131"/>
    <x v="135"/>
  </r>
  <r>
    <x v="132"/>
    <x v="136"/>
  </r>
  <r>
    <x v="133"/>
    <x v="137"/>
  </r>
  <r>
    <x v="133"/>
    <x v="138"/>
  </r>
  <r>
    <x v="134"/>
    <x v="139"/>
  </r>
  <r>
    <x v="134"/>
    <x v="140"/>
  </r>
  <r>
    <x v="134"/>
    <x v="141"/>
  </r>
  <r>
    <x v="135"/>
    <x v="142"/>
  </r>
  <r>
    <x v="136"/>
    <x v="143"/>
  </r>
  <r>
    <x v="137"/>
    <x v="144"/>
  </r>
  <r>
    <x v="138"/>
    <x v="145"/>
  </r>
  <r>
    <x v="139"/>
    <x v="146"/>
  </r>
  <r>
    <x v="140"/>
    <x v="147"/>
  </r>
  <r>
    <x v="140"/>
    <x v="148"/>
  </r>
  <r>
    <x v="141"/>
    <x v="149"/>
  </r>
  <r>
    <x v="141"/>
    <x v="150"/>
  </r>
  <r>
    <x v="142"/>
    <x v="151"/>
  </r>
  <r>
    <x v="143"/>
    <x v="152"/>
  </r>
  <r>
    <x v="143"/>
    <x v="153"/>
  </r>
  <r>
    <x v="144"/>
    <x v="154"/>
  </r>
  <r>
    <x v="145"/>
    <x v="155"/>
  </r>
  <r>
    <x v="146"/>
    <x v="156"/>
  </r>
  <r>
    <x v="147"/>
    <x v="157"/>
  </r>
  <r>
    <x v="148"/>
    <x v="158"/>
  </r>
  <r>
    <x v="149"/>
    <x v="159"/>
  </r>
  <r>
    <x v="150"/>
    <x v="160"/>
  </r>
  <r>
    <x v="151"/>
    <x v="161"/>
  </r>
  <r>
    <x v="152"/>
    <x v="162"/>
  </r>
  <r>
    <x v="153"/>
    <x v="163"/>
  </r>
  <r>
    <x v="154"/>
    <x v="164"/>
  </r>
  <r>
    <x v="155"/>
    <x v="165"/>
  </r>
  <r>
    <x v="156"/>
    <x v="166"/>
  </r>
  <r>
    <x v="157"/>
    <x v="167"/>
  </r>
  <r>
    <x v="158"/>
    <x v="168"/>
  </r>
  <r>
    <x v="159"/>
    <x v="169"/>
  </r>
  <r>
    <x v="160"/>
    <x v="170"/>
  </r>
  <r>
    <x v="161"/>
    <x v="171"/>
  </r>
  <r>
    <x v="162"/>
    <x v="172"/>
  </r>
  <r>
    <x v="163"/>
    <x v="173"/>
  </r>
  <r>
    <x v="164"/>
    <x v="174"/>
  </r>
  <r>
    <x v="165"/>
    <x v="175"/>
  </r>
  <r>
    <x v="166"/>
    <x v="176"/>
  </r>
  <r>
    <x v="167"/>
    <x v="177"/>
  </r>
  <r>
    <x v="168"/>
    <x v="178"/>
  </r>
  <r>
    <x v="169"/>
    <x v="179"/>
  </r>
  <r>
    <x v="170"/>
    <x v="180"/>
  </r>
  <r>
    <x v="171"/>
    <x v="181"/>
  </r>
  <r>
    <x v="172"/>
    <x v="182"/>
  </r>
  <r>
    <x v="173"/>
    <x v="183"/>
  </r>
  <r>
    <x v="174"/>
    <x v="184"/>
  </r>
  <r>
    <x v="175"/>
    <x v="185"/>
  </r>
  <r>
    <x v="176"/>
    <x v="186"/>
  </r>
  <r>
    <x v="177"/>
    <x v="187"/>
  </r>
  <r>
    <x v="178"/>
    <x v="188"/>
  </r>
  <r>
    <x v="179"/>
    <x v="189"/>
  </r>
  <r>
    <x v="180"/>
    <x v="190"/>
  </r>
  <r>
    <x v="181"/>
    <x v="191"/>
  </r>
  <r>
    <x v="182"/>
    <x v="192"/>
  </r>
  <r>
    <x v="183"/>
    <x v="193"/>
  </r>
  <r>
    <x v="184"/>
    <x v="194"/>
  </r>
  <r>
    <x v="185"/>
    <x v="195"/>
  </r>
  <r>
    <x v="186"/>
    <x v="196"/>
  </r>
  <r>
    <x v="187"/>
    <x v="197"/>
  </r>
  <r>
    <x v="187"/>
    <x v="198"/>
  </r>
  <r>
    <x v="188"/>
    <x v="199"/>
  </r>
  <r>
    <x v="189"/>
    <x v="200"/>
  </r>
  <r>
    <x v="190"/>
    <x v="201"/>
  </r>
  <r>
    <x v="191"/>
    <x v="202"/>
  </r>
  <r>
    <x v="192"/>
    <x v="203"/>
  </r>
  <r>
    <x v="193"/>
    <x v="204"/>
  </r>
  <r>
    <x v="194"/>
    <x v="205"/>
  </r>
  <r>
    <x v="195"/>
    <x v="206"/>
  </r>
  <r>
    <x v="196"/>
    <x v="207"/>
  </r>
  <r>
    <x v="197"/>
    <x v="208"/>
  </r>
  <r>
    <x v="198"/>
    <x v="209"/>
  </r>
  <r>
    <x v="199"/>
    <x v="210"/>
  </r>
  <r>
    <x v="200"/>
    <x v="211"/>
  </r>
  <r>
    <x v="201"/>
    <x v="212"/>
  </r>
  <r>
    <x v="202"/>
    <x v="213"/>
  </r>
  <r>
    <x v="203"/>
    <x v="214"/>
  </r>
  <r>
    <x v="204"/>
    <x v="215"/>
  </r>
  <r>
    <x v="205"/>
    <x v="216"/>
  </r>
  <r>
    <x v="206"/>
    <x v="217"/>
  </r>
  <r>
    <x v="207"/>
    <x v="218"/>
  </r>
  <r>
    <x v="208"/>
    <x v="219"/>
  </r>
  <r>
    <x v="209"/>
    <x v="220"/>
  </r>
  <r>
    <x v="210"/>
    <x v="221"/>
  </r>
  <r>
    <x v="211"/>
    <x v="222"/>
  </r>
  <r>
    <x v="211"/>
    <x v="223"/>
  </r>
  <r>
    <x v="212"/>
    <x v="224"/>
  </r>
  <r>
    <x v="212"/>
    <x v="225"/>
  </r>
  <r>
    <x v="213"/>
    <x v="226"/>
  </r>
  <r>
    <x v="214"/>
    <x v="227"/>
  </r>
  <r>
    <x v="214"/>
    <x v="228"/>
  </r>
  <r>
    <x v="215"/>
    <x v="229"/>
  </r>
  <r>
    <x v="216"/>
    <x v="230"/>
  </r>
  <r>
    <x v="217"/>
    <x v="231"/>
  </r>
  <r>
    <x v="218"/>
    <x v="232"/>
  </r>
  <r>
    <x v="218"/>
    <x v="233"/>
  </r>
  <r>
    <x v="219"/>
    <x v="234"/>
  </r>
  <r>
    <x v="220"/>
    <x v="235"/>
  </r>
  <r>
    <x v="221"/>
    <x v="236"/>
  </r>
  <r>
    <x v="222"/>
    <x v="237"/>
  </r>
  <r>
    <x v="223"/>
    <x v="238"/>
  </r>
  <r>
    <x v="224"/>
    <x v="239"/>
  </r>
  <r>
    <x v="225"/>
    <x v="240"/>
  </r>
  <r>
    <x v="226"/>
    <x v="241"/>
  </r>
  <r>
    <x v="227"/>
    <x v="242"/>
  </r>
  <r>
    <x v="228"/>
    <x v="243"/>
  </r>
  <r>
    <x v="229"/>
    <x v="244"/>
  </r>
  <r>
    <x v="229"/>
    <x v="245"/>
  </r>
  <r>
    <x v="230"/>
    <x v="246"/>
  </r>
  <r>
    <x v="231"/>
    <x v="247"/>
  </r>
  <r>
    <x v="232"/>
    <x v="248"/>
  </r>
  <r>
    <x v="233"/>
    <x v="249"/>
  </r>
  <r>
    <x v="234"/>
    <x v="250"/>
  </r>
  <r>
    <x v="235"/>
    <x v="251"/>
  </r>
  <r>
    <x v="236"/>
    <x v="252"/>
  </r>
  <r>
    <x v="237"/>
    <x v="253"/>
  </r>
  <r>
    <x v="238"/>
    <x v="254"/>
  </r>
  <r>
    <x v="239"/>
    <x v="255"/>
  </r>
  <r>
    <x v="240"/>
    <x v="256"/>
  </r>
  <r>
    <x v="241"/>
    <x v="257"/>
  </r>
  <r>
    <x v="242"/>
    <x v="258"/>
  </r>
  <r>
    <x v="243"/>
    <x v="259"/>
  </r>
  <r>
    <x v="244"/>
    <x v="260"/>
  </r>
  <r>
    <x v="245"/>
    <x v="261"/>
  </r>
  <r>
    <x v="246"/>
    <x v="262"/>
  </r>
  <r>
    <x v="247"/>
    <x v="263"/>
  </r>
  <r>
    <x v="248"/>
    <x v="264"/>
  </r>
  <r>
    <x v="249"/>
    <x v="265"/>
  </r>
  <r>
    <x v="250"/>
    <x v="266"/>
  </r>
  <r>
    <x v="251"/>
    <x v="267"/>
  </r>
  <r>
    <x v="252"/>
    <x v="268"/>
  </r>
  <r>
    <x v="253"/>
    <x v="269"/>
  </r>
  <r>
    <x v="254"/>
    <x v="270"/>
  </r>
  <r>
    <x v="255"/>
    <x v="271"/>
  </r>
  <r>
    <x v="256"/>
    <x v="272"/>
  </r>
  <r>
    <x v="257"/>
    <x v="273"/>
  </r>
  <r>
    <x v="258"/>
    <x v="274"/>
  </r>
  <r>
    <x v="259"/>
    <x v="275"/>
  </r>
  <r>
    <x v="260"/>
    <x v="276"/>
  </r>
  <r>
    <x v="261"/>
    <x v="277"/>
  </r>
  <r>
    <x v="261"/>
    <x v="278"/>
  </r>
  <r>
    <x v="262"/>
    <x v="279"/>
  </r>
  <r>
    <x v="263"/>
    <x v="280"/>
  </r>
  <r>
    <x v="264"/>
    <x v="281"/>
  </r>
  <r>
    <x v="265"/>
    <x v="282"/>
  </r>
  <r>
    <x v="266"/>
    <x v="283"/>
  </r>
  <r>
    <x v="267"/>
    <x v="284"/>
  </r>
  <r>
    <x v="268"/>
    <x v="285"/>
  </r>
  <r>
    <x v="269"/>
    <x v="286"/>
  </r>
  <r>
    <x v="270"/>
    <x v="287"/>
  </r>
  <r>
    <x v="271"/>
    <x v="288"/>
  </r>
  <r>
    <x v="272"/>
    <x v="289"/>
  </r>
  <r>
    <x v="273"/>
    <x v="290"/>
  </r>
  <r>
    <x v="274"/>
    <x v="291"/>
  </r>
  <r>
    <x v="275"/>
    <x v="292"/>
  </r>
  <r>
    <x v="276"/>
    <x v="293"/>
  </r>
  <r>
    <x v="277"/>
    <x v="294"/>
  </r>
  <r>
    <x v="278"/>
    <x v="295"/>
  </r>
  <r>
    <x v="279"/>
    <x v="296"/>
  </r>
  <r>
    <x v="280"/>
    <x v="297"/>
  </r>
  <r>
    <x v="281"/>
    <x v="298"/>
  </r>
  <r>
    <x v="281"/>
    <x v="299"/>
  </r>
  <r>
    <x v="282"/>
    <x v="300"/>
  </r>
  <r>
    <x v="283"/>
    <x v="301"/>
  </r>
  <r>
    <x v="284"/>
    <x v="302"/>
  </r>
  <r>
    <x v="285"/>
    <x v="303"/>
  </r>
  <r>
    <x v="286"/>
    <x v="304"/>
  </r>
  <r>
    <x v="287"/>
    <x v="305"/>
  </r>
  <r>
    <x v="288"/>
    <x v="306"/>
  </r>
  <r>
    <x v="289"/>
    <x v="307"/>
  </r>
  <r>
    <x v="290"/>
    <x v="308"/>
  </r>
  <r>
    <x v="291"/>
    <x v="309"/>
  </r>
  <r>
    <x v="292"/>
    <x v="310"/>
  </r>
  <r>
    <x v="293"/>
    <x v="311"/>
  </r>
  <r>
    <x v="294"/>
    <x v="312"/>
  </r>
  <r>
    <x v="295"/>
    <x v="313"/>
  </r>
  <r>
    <x v="296"/>
    <x v="314"/>
  </r>
  <r>
    <x v="297"/>
    <x v="315"/>
  </r>
  <r>
    <x v="298"/>
    <x v="316"/>
  </r>
  <r>
    <x v="299"/>
    <x v="317"/>
  </r>
  <r>
    <x v="300"/>
    <x v="318"/>
  </r>
  <r>
    <x v="301"/>
    <x v="319"/>
  </r>
  <r>
    <x v="302"/>
    <x v="320"/>
  </r>
  <r>
    <x v="303"/>
    <x v="321"/>
  </r>
  <r>
    <x v="304"/>
    <x v="322"/>
  </r>
  <r>
    <x v="305"/>
    <x v="323"/>
  </r>
  <r>
    <x v="306"/>
    <x v="324"/>
  </r>
  <r>
    <x v="307"/>
    <x v="325"/>
  </r>
  <r>
    <x v="308"/>
    <x v="326"/>
  </r>
  <r>
    <x v="309"/>
    <x v="327"/>
  </r>
  <r>
    <x v="310"/>
    <x v="328"/>
  </r>
  <r>
    <x v="311"/>
    <x v="329"/>
  </r>
  <r>
    <x v="312"/>
    <x v="330"/>
  </r>
  <r>
    <x v="313"/>
    <x v="331"/>
  </r>
  <r>
    <x v="314"/>
    <x v="332"/>
  </r>
  <r>
    <x v="315"/>
    <x v="333"/>
  </r>
  <r>
    <x v="316"/>
    <x v="334"/>
  </r>
  <r>
    <x v="317"/>
    <x v="335"/>
  </r>
  <r>
    <x v="318"/>
    <x v="336"/>
  </r>
  <r>
    <x v="319"/>
    <x v="337"/>
  </r>
  <r>
    <x v="320"/>
    <x v="338"/>
  </r>
  <r>
    <x v="321"/>
    <x v="339"/>
  </r>
  <r>
    <x v="322"/>
    <x v="340"/>
  </r>
  <r>
    <x v="323"/>
    <x v="341"/>
  </r>
  <r>
    <x v="324"/>
    <x v="342"/>
  </r>
  <r>
    <x v="325"/>
    <x v="343"/>
  </r>
  <r>
    <x v="326"/>
    <x v="344"/>
  </r>
  <r>
    <x v="326"/>
    <x v="345"/>
  </r>
  <r>
    <x v="327"/>
    <x v="346"/>
  </r>
  <r>
    <x v="328"/>
    <x v="347"/>
  </r>
  <r>
    <x v="329"/>
    <x v="348"/>
  </r>
  <r>
    <x v="330"/>
    <x v="349"/>
  </r>
  <r>
    <x v="331"/>
    <x v="350"/>
  </r>
  <r>
    <x v="332"/>
    <x v="351"/>
  </r>
  <r>
    <x v="333"/>
    <x v="352"/>
  </r>
  <r>
    <x v="334"/>
    <x v="353"/>
  </r>
  <r>
    <x v="335"/>
    <x v="354"/>
  </r>
  <r>
    <x v="336"/>
    <x v="355"/>
  </r>
  <r>
    <x v="337"/>
    <x v="356"/>
  </r>
  <r>
    <x v="338"/>
    <x v="357"/>
  </r>
  <r>
    <x v="339"/>
    <x v="358"/>
  </r>
  <r>
    <x v="340"/>
    <x v="359"/>
  </r>
  <r>
    <x v="341"/>
    <x v="360"/>
  </r>
  <r>
    <x v="342"/>
    <x v="361"/>
  </r>
  <r>
    <x v="343"/>
    <x v="362"/>
  </r>
  <r>
    <x v="344"/>
    <x v="363"/>
  </r>
  <r>
    <x v="345"/>
    <x v="364"/>
  </r>
  <r>
    <x v="346"/>
    <x v="365"/>
  </r>
  <r>
    <x v="347"/>
    <x v="366"/>
  </r>
  <r>
    <x v="348"/>
    <x v="366"/>
  </r>
  <r>
    <x v="349"/>
    <x v="366"/>
  </r>
  <r>
    <x v="350"/>
    <x v="366"/>
  </r>
  <r>
    <x v="351"/>
    <x v="366"/>
  </r>
  <r>
    <x v="352"/>
    <x v="366"/>
  </r>
  <r>
    <x v="353"/>
    <x v="366"/>
  </r>
  <r>
    <x v="354"/>
    <x v="366"/>
  </r>
  <r>
    <x v="355"/>
    <x v="366"/>
  </r>
  <r>
    <x v="356"/>
    <x v="366"/>
  </r>
  <r>
    <x v="357"/>
    <x v="366"/>
  </r>
  <r>
    <x v="358"/>
    <x v="366"/>
  </r>
  <r>
    <x v="359"/>
    <x v="366"/>
  </r>
  <r>
    <x v="360"/>
    <x v="366"/>
  </r>
  <r>
    <x v="361"/>
    <x v="366"/>
  </r>
  <r>
    <x v="362"/>
    <x v="366"/>
  </r>
  <r>
    <x v="363"/>
    <x v="366"/>
  </r>
  <r>
    <x v="364"/>
    <x v="366"/>
  </r>
  <r>
    <x v="365"/>
    <x v="366"/>
  </r>
  <r>
    <x v="366"/>
    <x v="366"/>
  </r>
  <r>
    <x v="366"/>
    <x v="366"/>
  </r>
  <r>
    <x v="367"/>
    <x v="366"/>
  </r>
  <r>
    <x v="368"/>
    <x v="366"/>
  </r>
  <r>
    <x v="369"/>
    <x v="366"/>
  </r>
  <r>
    <x v="370"/>
    <x v="366"/>
  </r>
  <r>
    <x v="371"/>
    <x v="366"/>
  </r>
  <r>
    <x v="372"/>
    <x v="366"/>
  </r>
  <r>
    <x v="373"/>
    <x v="366"/>
  </r>
  <r>
    <x v="374"/>
    <x v="366"/>
  </r>
  <r>
    <x v="375"/>
    <x v="366"/>
  </r>
  <r>
    <x v="376"/>
    <x v="366"/>
  </r>
  <r>
    <x v="377"/>
    <x v="366"/>
  </r>
  <r>
    <x v="378"/>
    <x v="366"/>
  </r>
  <r>
    <x v="379"/>
    <x v="366"/>
  </r>
  <r>
    <x v="380"/>
    <x v="366"/>
  </r>
  <r>
    <x v="381"/>
    <x v="366"/>
  </r>
  <r>
    <x v="382"/>
    <x v="366"/>
  </r>
  <r>
    <x v="383"/>
    <x v="366"/>
  </r>
  <r>
    <x v="384"/>
    <x v="366"/>
  </r>
  <r>
    <x v="385"/>
    <x v="366"/>
  </r>
  <r>
    <x v="386"/>
    <x v="366"/>
  </r>
  <r>
    <x v="387"/>
    <x v="366"/>
  </r>
  <r>
    <x v="388"/>
    <x v="366"/>
  </r>
  <r>
    <x v="389"/>
    <x v="366"/>
  </r>
  <r>
    <x v="390"/>
    <x v="366"/>
  </r>
  <r>
    <x v="391"/>
    <x v="366"/>
  </r>
  <r>
    <x v="392"/>
    <x v="366"/>
  </r>
  <r>
    <x v="393"/>
    <x v="366"/>
  </r>
  <r>
    <x v="393"/>
    <x v="366"/>
  </r>
  <r>
    <x v="394"/>
    <x v="366"/>
  </r>
  <r>
    <x v="395"/>
    <x v="366"/>
  </r>
  <r>
    <x v="396"/>
    <x v="366"/>
  </r>
  <r>
    <x v="397"/>
    <x v="366"/>
  </r>
  <r>
    <x v="398"/>
    <x v="366"/>
  </r>
  <r>
    <x v="398"/>
    <x v="366"/>
  </r>
  <r>
    <x v="399"/>
    <x v="366"/>
  </r>
  <r>
    <x v="400"/>
    <x v="366"/>
  </r>
  <r>
    <x v="401"/>
    <x v="366"/>
  </r>
  <r>
    <x v="402"/>
    <x v="366"/>
  </r>
  <r>
    <x v="403"/>
    <x v="366"/>
  </r>
  <r>
    <x v="404"/>
    <x v="366"/>
  </r>
  <r>
    <x v="405"/>
    <x v="366"/>
  </r>
  <r>
    <x v="406"/>
    <x v="366"/>
  </r>
  <r>
    <x v="407"/>
    <x v="366"/>
  </r>
  <r>
    <x v="408"/>
    <x v="366"/>
  </r>
  <r>
    <x v="409"/>
    <x v="366"/>
  </r>
  <r>
    <x v="410"/>
    <x v="366"/>
  </r>
  <r>
    <x v="411"/>
    <x v="366"/>
  </r>
  <r>
    <x v="412"/>
    <x v="366"/>
  </r>
  <r>
    <x v="413"/>
    <x v="366"/>
  </r>
  <r>
    <x v="414"/>
    <x v="366"/>
  </r>
  <r>
    <x v="415"/>
    <x v="366"/>
  </r>
  <r>
    <x v="416"/>
    <x v="366"/>
  </r>
  <r>
    <x v="417"/>
    <x v="366"/>
  </r>
  <r>
    <x v="418"/>
    <x v="366"/>
  </r>
  <r>
    <x v="419"/>
    <x v="366"/>
  </r>
  <r>
    <x v="420"/>
    <x v="366"/>
  </r>
  <r>
    <x v="421"/>
    <x v="366"/>
  </r>
  <r>
    <x v="422"/>
    <x v="366"/>
  </r>
  <r>
    <x v="423"/>
    <x v="366"/>
  </r>
  <r>
    <x v="424"/>
    <x v="366"/>
  </r>
  <r>
    <x v="425"/>
    <x v="366"/>
  </r>
  <r>
    <x v="426"/>
    <x v="366"/>
  </r>
  <r>
    <x v="427"/>
    <x v="366"/>
  </r>
  <r>
    <x v="428"/>
    <x v="366"/>
  </r>
  <r>
    <x v="429"/>
    <x v="366"/>
  </r>
  <r>
    <x v="430"/>
    <x v="366"/>
  </r>
  <r>
    <x v="431"/>
    <x v="366"/>
  </r>
  <r>
    <x v="431"/>
    <x v="366"/>
  </r>
  <r>
    <x v="432"/>
    <x v="366"/>
  </r>
  <r>
    <x v="433"/>
    <x v="366"/>
  </r>
  <r>
    <x v="434"/>
    <x v="366"/>
  </r>
  <r>
    <x v="435"/>
    <x v="366"/>
  </r>
  <r>
    <x v="436"/>
    <x v="366"/>
  </r>
  <r>
    <x v="437"/>
    <x v="366"/>
  </r>
  <r>
    <x v="438"/>
    <x v="366"/>
  </r>
  <r>
    <x v="439"/>
    <x v="366"/>
  </r>
  <r>
    <x v="440"/>
    <x v="366"/>
  </r>
  <r>
    <x v="440"/>
    <x v="366"/>
  </r>
  <r>
    <x v="441"/>
    <x v="366"/>
  </r>
  <r>
    <x v="442"/>
    <x v="366"/>
  </r>
  <r>
    <x v="443"/>
    <x v="366"/>
  </r>
  <r>
    <x v="444"/>
    <x v="366"/>
  </r>
  <r>
    <x v="445"/>
    <x v="366"/>
  </r>
  <r>
    <x v="446"/>
    <x v="366"/>
  </r>
  <r>
    <x v="447"/>
    <x v="366"/>
  </r>
  <r>
    <x v="448"/>
    <x v="366"/>
  </r>
  <r>
    <x v="449"/>
    <x v="366"/>
  </r>
  <r>
    <x v="450"/>
    <x v="366"/>
  </r>
  <r>
    <x v="451"/>
    <x v="366"/>
  </r>
  <r>
    <x v="451"/>
    <x v="366"/>
  </r>
  <r>
    <x v="452"/>
    <x v="366"/>
  </r>
  <r>
    <x v="453"/>
    <x v="366"/>
  </r>
  <r>
    <x v="454"/>
    <x v="366"/>
  </r>
  <r>
    <x v="454"/>
    <x v="366"/>
  </r>
  <r>
    <x v="455"/>
    <x v="366"/>
  </r>
  <r>
    <x v="456"/>
    <x v="366"/>
  </r>
  <r>
    <x v="456"/>
    <x v="366"/>
  </r>
  <r>
    <x v="457"/>
    <x v="366"/>
  </r>
  <r>
    <x v="458"/>
    <x v="366"/>
  </r>
  <r>
    <x v="459"/>
    <x v="366"/>
  </r>
  <r>
    <x v="460"/>
    <x v="366"/>
  </r>
  <r>
    <x v="461"/>
    <x v="366"/>
  </r>
  <r>
    <x v="462"/>
    <x v="366"/>
  </r>
  <r>
    <x v="463"/>
    <x v="366"/>
  </r>
  <r>
    <x v="464"/>
    <x v="366"/>
  </r>
  <r>
    <x v="464"/>
    <x v="366"/>
  </r>
  <r>
    <x v="465"/>
    <x v="366"/>
  </r>
  <r>
    <x v="466"/>
    <x v="366"/>
  </r>
  <r>
    <x v="467"/>
    <x v="366"/>
  </r>
  <r>
    <x v="468"/>
    <x v="366"/>
  </r>
  <r>
    <x v="469"/>
    <x v="366"/>
  </r>
  <r>
    <x v="470"/>
    <x v="366"/>
  </r>
  <r>
    <x v="471"/>
    <x v="366"/>
  </r>
  <r>
    <x v="472"/>
    <x v="366"/>
  </r>
  <r>
    <x v="473"/>
    <x v="366"/>
  </r>
  <r>
    <x v="474"/>
    <x v="366"/>
  </r>
  <r>
    <x v="475"/>
    <x v="366"/>
  </r>
  <r>
    <x v="476"/>
    <x v="366"/>
  </r>
  <r>
    <x v="477"/>
    <x v="366"/>
  </r>
  <r>
    <x v="478"/>
    <x v="366"/>
  </r>
  <r>
    <x v="479"/>
    <x v="366"/>
  </r>
  <r>
    <x v="480"/>
    <x v="366"/>
  </r>
  <r>
    <x v="481"/>
    <x v="366"/>
  </r>
  <r>
    <x v="482"/>
    <x v="366"/>
  </r>
  <r>
    <x v="483"/>
    <x v="366"/>
  </r>
  <r>
    <x v="484"/>
    <x v="366"/>
  </r>
  <r>
    <x v="485"/>
    <x v="366"/>
  </r>
  <r>
    <x v="486"/>
    <x v="366"/>
  </r>
  <r>
    <x v="487"/>
    <x v="366"/>
  </r>
  <r>
    <x v="488"/>
    <x v="366"/>
  </r>
  <r>
    <x v="489"/>
    <x v="366"/>
  </r>
  <r>
    <x v="490"/>
    <x v="366"/>
  </r>
  <r>
    <x v="491"/>
    <x v="366"/>
  </r>
  <r>
    <x v="492"/>
    <x v="366"/>
  </r>
  <r>
    <x v="493"/>
    <x v="366"/>
  </r>
  <r>
    <x v="494"/>
    <x v="366"/>
  </r>
  <r>
    <x v="495"/>
    <x v="366"/>
  </r>
  <r>
    <x v="496"/>
    <x v="366"/>
  </r>
  <r>
    <x v="497"/>
    <x v="366"/>
  </r>
  <r>
    <x v="498"/>
    <x v="366"/>
  </r>
  <r>
    <x v="499"/>
    <x v="366"/>
  </r>
  <r>
    <x v="500"/>
    <x v="366"/>
  </r>
  <r>
    <x v="501"/>
    <x v="366"/>
  </r>
  <r>
    <x v="502"/>
    <x v="366"/>
  </r>
  <r>
    <x v="503"/>
    <x v="366"/>
  </r>
  <r>
    <x v="504"/>
    <x v="366"/>
  </r>
  <r>
    <x v="505"/>
    <x v="366"/>
  </r>
  <r>
    <x v="506"/>
    <x v="366"/>
  </r>
  <r>
    <x v="507"/>
    <x v="366"/>
  </r>
  <r>
    <x v="508"/>
    <x v="366"/>
  </r>
  <r>
    <x v="509"/>
    <x v="366"/>
  </r>
  <r>
    <x v="510"/>
    <x v="366"/>
  </r>
  <r>
    <x v="511"/>
    <x v="366"/>
  </r>
  <r>
    <x v="512"/>
    <x v="366"/>
  </r>
  <r>
    <x v="513"/>
    <x v="366"/>
  </r>
  <r>
    <x v="514"/>
    <x v="366"/>
  </r>
  <r>
    <x v="515"/>
    <x v="366"/>
  </r>
  <r>
    <x v="516"/>
    <x v="366"/>
  </r>
  <r>
    <x v="517"/>
    <x v="366"/>
  </r>
  <r>
    <x v="518"/>
    <x v="366"/>
  </r>
  <r>
    <x v="519"/>
    <x v="366"/>
  </r>
  <r>
    <x v="520"/>
    <x v="366"/>
  </r>
  <r>
    <x v="521"/>
    <x v="366"/>
  </r>
  <r>
    <x v="522"/>
    <x v="366"/>
  </r>
  <r>
    <x v="523"/>
    <x v="366"/>
  </r>
  <r>
    <x v="524"/>
    <x v="366"/>
  </r>
  <r>
    <x v="525"/>
    <x v="366"/>
  </r>
  <r>
    <x v="526"/>
    <x v="366"/>
  </r>
  <r>
    <x v="527"/>
    <x v="366"/>
  </r>
  <r>
    <x v="528"/>
    <x v="366"/>
  </r>
  <r>
    <x v="529"/>
    <x v="366"/>
  </r>
  <r>
    <x v="529"/>
    <x v="366"/>
  </r>
  <r>
    <x v="530"/>
    <x v="366"/>
  </r>
  <r>
    <x v="531"/>
    <x v="366"/>
  </r>
  <r>
    <x v="532"/>
    <x v="366"/>
  </r>
  <r>
    <x v="533"/>
    <x v="366"/>
  </r>
  <r>
    <x v="534"/>
    <x v="366"/>
  </r>
  <r>
    <x v="535"/>
    <x v="366"/>
  </r>
  <r>
    <x v="536"/>
    <x v="366"/>
  </r>
  <r>
    <x v="537"/>
    <x v="366"/>
  </r>
  <r>
    <x v="538"/>
    <x v="366"/>
  </r>
  <r>
    <x v="539"/>
    <x v="366"/>
  </r>
  <r>
    <x v="539"/>
    <x v="366"/>
  </r>
  <r>
    <x v="540"/>
    <x v="366"/>
  </r>
  <r>
    <x v="541"/>
    <x v="366"/>
  </r>
  <r>
    <x v="542"/>
    <x v="366"/>
  </r>
  <r>
    <x v="543"/>
    <x v="366"/>
  </r>
  <r>
    <x v="544"/>
    <x v="366"/>
  </r>
  <r>
    <x v="545"/>
    <x v="366"/>
  </r>
  <r>
    <x v="546"/>
    <x v="366"/>
  </r>
  <r>
    <x v="547"/>
    <x v="366"/>
  </r>
  <r>
    <x v="548"/>
    <x v="366"/>
  </r>
  <r>
    <x v="549"/>
    <x v="366"/>
  </r>
  <r>
    <x v="550"/>
    <x v="366"/>
  </r>
  <r>
    <x v="551"/>
    <x v="366"/>
  </r>
  <r>
    <x v="552"/>
    <x v="366"/>
  </r>
  <r>
    <x v="553"/>
    <x v="366"/>
  </r>
  <r>
    <x v="554"/>
    <x v="366"/>
  </r>
  <r>
    <x v="555"/>
    <x v="366"/>
  </r>
  <r>
    <x v="556"/>
    <x v="366"/>
  </r>
  <r>
    <x v="557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  <r>
    <x v="558"/>
    <x v="3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DF776-4D0B-43DD-9DBF-1BC27056F35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1142" firstHeaderRow="1" firstDataRow="1" firstDataCol="1"/>
  <pivotFields count="2">
    <pivotField axis="axisRow" showAll="0">
      <items count="5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axis="axisRow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</pivotFields>
  <rowFields count="2">
    <field x="0"/>
    <field x="1"/>
  </rowFields>
  <rowItems count="1138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 r="1">
      <x v="16"/>
    </i>
    <i r="1">
      <x v="17"/>
    </i>
    <i>
      <x v="16"/>
    </i>
    <i r="1">
      <x v="18"/>
    </i>
    <i r="1">
      <x v="19"/>
    </i>
    <i r="1">
      <x v="20"/>
    </i>
    <i>
      <x v="17"/>
    </i>
    <i r="1">
      <x v="21"/>
    </i>
    <i>
      <x v="18"/>
    </i>
    <i r="1">
      <x v="22"/>
    </i>
    <i>
      <x v="19"/>
    </i>
    <i r="1">
      <x v="23"/>
    </i>
    <i>
      <x v="20"/>
    </i>
    <i r="1">
      <x v="24"/>
    </i>
    <i>
      <x v="21"/>
    </i>
    <i r="1">
      <x v="25"/>
    </i>
    <i>
      <x v="22"/>
    </i>
    <i r="1">
      <x v="26"/>
    </i>
    <i>
      <x v="23"/>
    </i>
    <i r="1">
      <x v="27"/>
    </i>
    <i>
      <x v="24"/>
    </i>
    <i r="1">
      <x v="28"/>
    </i>
    <i>
      <x v="25"/>
    </i>
    <i r="1">
      <x v="29"/>
    </i>
    <i>
      <x v="26"/>
    </i>
    <i r="1">
      <x v="30"/>
    </i>
    <i>
      <x v="27"/>
    </i>
    <i r="1">
      <x v="31"/>
    </i>
    <i>
      <x v="28"/>
    </i>
    <i r="1">
      <x v="32"/>
    </i>
    <i>
      <x v="29"/>
    </i>
    <i r="1">
      <x v="33"/>
    </i>
    <i>
      <x v="30"/>
    </i>
    <i r="1">
      <x v="34"/>
    </i>
    <i>
      <x v="31"/>
    </i>
    <i r="1">
      <x v="35"/>
    </i>
    <i>
      <x v="32"/>
    </i>
    <i r="1">
      <x v="36"/>
    </i>
    <i>
      <x v="33"/>
    </i>
    <i r="1">
      <x v="37"/>
    </i>
    <i>
      <x v="34"/>
    </i>
    <i r="1">
      <x v="38"/>
    </i>
    <i>
      <x v="35"/>
    </i>
    <i r="1">
      <x v="39"/>
    </i>
    <i>
      <x v="36"/>
    </i>
    <i r="1">
      <x v="40"/>
    </i>
    <i>
      <x v="37"/>
    </i>
    <i r="1">
      <x v="41"/>
    </i>
    <i>
      <x v="38"/>
    </i>
    <i r="1">
      <x v="42"/>
    </i>
    <i>
      <x v="39"/>
    </i>
    <i r="1">
      <x v="43"/>
    </i>
    <i>
      <x v="40"/>
    </i>
    <i r="1">
      <x v="44"/>
    </i>
    <i>
      <x v="41"/>
    </i>
    <i r="1">
      <x v="45"/>
    </i>
    <i>
      <x v="42"/>
    </i>
    <i r="1">
      <x v="46"/>
    </i>
    <i>
      <x v="43"/>
    </i>
    <i r="1">
      <x v="47"/>
    </i>
    <i>
      <x v="44"/>
    </i>
    <i r="1">
      <x v="48"/>
    </i>
    <i>
      <x v="45"/>
    </i>
    <i r="1">
      <x v="49"/>
    </i>
    <i>
      <x v="46"/>
    </i>
    <i r="1">
      <x v="50"/>
    </i>
    <i>
      <x v="47"/>
    </i>
    <i r="1">
      <x v="51"/>
    </i>
    <i>
      <x v="48"/>
    </i>
    <i r="1">
      <x v="52"/>
    </i>
    <i>
      <x v="49"/>
    </i>
    <i r="1">
      <x v="53"/>
    </i>
    <i>
      <x v="50"/>
    </i>
    <i r="1">
      <x v="54"/>
    </i>
    <i>
      <x v="51"/>
    </i>
    <i r="1">
      <x v="55"/>
    </i>
    <i>
      <x v="52"/>
    </i>
    <i r="1">
      <x v="56"/>
    </i>
    <i>
      <x v="53"/>
    </i>
    <i r="1">
      <x v="57"/>
    </i>
    <i>
      <x v="54"/>
    </i>
    <i r="1">
      <x v="58"/>
    </i>
    <i>
      <x v="55"/>
    </i>
    <i r="1">
      <x v="59"/>
    </i>
    <i>
      <x v="56"/>
    </i>
    <i r="1">
      <x v="60"/>
    </i>
    <i>
      <x v="57"/>
    </i>
    <i r="1">
      <x v="61"/>
    </i>
    <i>
      <x v="58"/>
    </i>
    <i r="1">
      <x v="62"/>
    </i>
    <i>
      <x v="59"/>
    </i>
    <i r="1">
      <x v="63"/>
    </i>
    <i>
      <x v="60"/>
    </i>
    <i r="1">
      <x v="64"/>
    </i>
    <i>
      <x v="61"/>
    </i>
    <i r="1">
      <x v="65"/>
    </i>
    <i>
      <x v="62"/>
    </i>
    <i r="1">
      <x v="66"/>
    </i>
    <i>
      <x v="63"/>
    </i>
    <i r="1">
      <x v="67"/>
    </i>
    <i>
      <x v="64"/>
    </i>
    <i r="1">
      <x v="68"/>
    </i>
    <i>
      <x v="65"/>
    </i>
    <i r="1">
      <x v="69"/>
    </i>
    <i>
      <x v="66"/>
    </i>
    <i r="1">
      <x v="70"/>
    </i>
    <i>
      <x v="67"/>
    </i>
    <i r="1">
      <x v="71"/>
    </i>
    <i>
      <x v="68"/>
    </i>
    <i r="1">
      <x v="72"/>
    </i>
    <i>
      <x v="69"/>
    </i>
    <i r="1">
      <x v="73"/>
    </i>
    <i>
      <x v="70"/>
    </i>
    <i r="1">
      <x v="74"/>
    </i>
    <i>
      <x v="71"/>
    </i>
    <i r="1">
      <x v="75"/>
    </i>
    <i>
      <x v="72"/>
    </i>
    <i r="1">
      <x v="76"/>
    </i>
    <i>
      <x v="73"/>
    </i>
    <i r="1">
      <x v="77"/>
    </i>
    <i>
      <x v="74"/>
    </i>
    <i r="1">
      <x v="78"/>
    </i>
    <i>
      <x v="75"/>
    </i>
    <i r="1">
      <x v="79"/>
    </i>
    <i>
      <x v="76"/>
    </i>
    <i r="1">
      <x v="80"/>
    </i>
    <i>
      <x v="77"/>
    </i>
    <i r="1">
      <x v="81"/>
    </i>
    <i>
      <x v="78"/>
    </i>
    <i r="1">
      <x v="82"/>
    </i>
    <i>
      <x v="79"/>
    </i>
    <i r="1">
      <x v="83"/>
    </i>
    <i>
      <x v="80"/>
    </i>
    <i r="1">
      <x v="84"/>
    </i>
    <i>
      <x v="81"/>
    </i>
    <i r="1">
      <x v="85"/>
    </i>
    <i>
      <x v="82"/>
    </i>
    <i r="1">
      <x v="86"/>
    </i>
    <i>
      <x v="83"/>
    </i>
    <i r="1">
      <x v="87"/>
    </i>
    <i>
      <x v="84"/>
    </i>
    <i r="1">
      <x v="88"/>
    </i>
    <i>
      <x v="85"/>
    </i>
    <i r="1">
      <x v="89"/>
    </i>
    <i>
      <x v="86"/>
    </i>
    <i r="1">
      <x v="90"/>
    </i>
    <i>
      <x v="87"/>
    </i>
    <i r="1">
      <x v="91"/>
    </i>
    <i>
      <x v="88"/>
    </i>
    <i r="1">
      <x v="92"/>
    </i>
    <i>
      <x v="89"/>
    </i>
    <i r="1">
      <x v="93"/>
    </i>
    <i>
      <x v="90"/>
    </i>
    <i r="1">
      <x v="94"/>
    </i>
    <i>
      <x v="91"/>
    </i>
    <i r="1">
      <x v="95"/>
    </i>
    <i>
      <x v="92"/>
    </i>
    <i r="1">
      <x v="96"/>
    </i>
    <i>
      <x v="93"/>
    </i>
    <i r="1">
      <x v="97"/>
    </i>
    <i>
      <x v="94"/>
    </i>
    <i r="1">
      <x v="98"/>
    </i>
    <i>
      <x v="95"/>
    </i>
    <i r="1">
      <x v="99"/>
    </i>
    <i>
      <x v="96"/>
    </i>
    <i r="1">
      <x v="100"/>
    </i>
    <i>
      <x v="97"/>
    </i>
    <i r="1">
      <x v="101"/>
    </i>
    <i>
      <x v="98"/>
    </i>
    <i r="1">
      <x v="102"/>
    </i>
    <i>
      <x v="99"/>
    </i>
    <i r="1">
      <x v="103"/>
    </i>
    <i>
      <x v="100"/>
    </i>
    <i r="1">
      <x v="104"/>
    </i>
    <i>
      <x v="101"/>
    </i>
    <i r="1">
      <x v="105"/>
    </i>
    <i>
      <x v="102"/>
    </i>
    <i r="1">
      <x v="106"/>
    </i>
    <i>
      <x v="103"/>
    </i>
    <i r="1">
      <x v="107"/>
    </i>
    <i>
      <x v="104"/>
    </i>
    <i r="1">
      <x v="108"/>
    </i>
    <i>
      <x v="105"/>
    </i>
    <i r="1">
      <x v="109"/>
    </i>
    <i>
      <x v="106"/>
    </i>
    <i r="1">
      <x v="110"/>
    </i>
    <i>
      <x v="107"/>
    </i>
    <i r="1">
      <x v="111"/>
    </i>
    <i>
      <x v="108"/>
    </i>
    <i r="1">
      <x v="112"/>
    </i>
    <i>
      <x v="109"/>
    </i>
    <i r="1">
      <x v="113"/>
    </i>
    <i>
      <x v="110"/>
    </i>
    <i r="1">
      <x v="114"/>
    </i>
    <i>
      <x v="111"/>
    </i>
    <i r="1">
      <x v="115"/>
    </i>
    <i>
      <x v="112"/>
    </i>
    <i r="1">
      <x v="116"/>
    </i>
    <i>
      <x v="113"/>
    </i>
    <i r="1">
      <x v="117"/>
    </i>
    <i>
      <x v="114"/>
    </i>
    <i r="1">
      <x v="118"/>
    </i>
    <i>
      <x v="115"/>
    </i>
    <i r="1">
      <x v="119"/>
    </i>
    <i>
      <x v="116"/>
    </i>
    <i r="1">
      <x v="120"/>
    </i>
    <i>
      <x v="117"/>
    </i>
    <i r="1">
      <x v="121"/>
    </i>
    <i>
      <x v="118"/>
    </i>
    <i r="1">
      <x v="122"/>
    </i>
    <i>
      <x v="119"/>
    </i>
    <i r="1">
      <x v="123"/>
    </i>
    <i>
      <x v="120"/>
    </i>
    <i r="1">
      <x v="124"/>
    </i>
    <i>
      <x v="121"/>
    </i>
    <i r="1">
      <x v="125"/>
    </i>
    <i>
      <x v="122"/>
    </i>
    <i r="1">
      <x v="126"/>
    </i>
    <i>
      <x v="123"/>
    </i>
    <i r="1">
      <x v="127"/>
    </i>
    <i>
      <x v="124"/>
    </i>
    <i r="1">
      <x v="128"/>
    </i>
    <i>
      <x v="125"/>
    </i>
    <i r="1">
      <x v="129"/>
    </i>
    <i>
      <x v="126"/>
    </i>
    <i r="1">
      <x v="130"/>
    </i>
    <i>
      <x v="127"/>
    </i>
    <i r="1">
      <x v="131"/>
    </i>
    <i>
      <x v="128"/>
    </i>
    <i r="1">
      <x v="132"/>
    </i>
    <i>
      <x v="129"/>
    </i>
    <i r="1">
      <x v="133"/>
    </i>
    <i>
      <x v="130"/>
    </i>
    <i r="1">
      <x v="134"/>
    </i>
    <i>
      <x v="131"/>
    </i>
    <i r="1">
      <x v="135"/>
    </i>
    <i>
      <x v="132"/>
    </i>
    <i r="1">
      <x v="136"/>
    </i>
    <i>
      <x v="133"/>
    </i>
    <i r="1">
      <x v="137"/>
    </i>
    <i r="1">
      <x v="138"/>
    </i>
    <i>
      <x v="134"/>
    </i>
    <i r="1">
      <x v="139"/>
    </i>
    <i r="1">
      <x v="140"/>
    </i>
    <i r="1">
      <x v="141"/>
    </i>
    <i>
      <x v="135"/>
    </i>
    <i r="1">
      <x v="142"/>
    </i>
    <i>
      <x v="136"/>
    </i>
    <i r="1">
      <x v="143"/>
    </i>
    <i>
      <x v="137"/>
    </i>
    <i r="1">
      <x v="144"/>
    </i>
    <i>
      <x v="138"/>
    </i>
    <i r="1">
      <x v="145"/>
    </i>
    <i>
      <x v="139"/>
    </i>
    <i r="1">
      <x v="146"/>
    </i>
    <i>
      <x v="140"/>
    </i>
    <i r="1">
      <x v="147"/>
    </i>
    <i r="1">
      <x v="148"/>
    </i>
    <i>
      <x v="141"/>
    </i>
    <i r="1">
      <x v="149"/>
    </i>
    <i r="1">
      <x v="150"/>
    </i>
    <i>
      <x v="142"/>
    </i>
    <i r="1">
      <x v="151"/>
    </i>
    <i>
      <x v="143"/>
    </i>
    <i r="1">
      <x v="152"/>
    </i>
    <i r="1">
      <x v="153"/>
    </i>
    <i>
      <x v="144"/>
    </i>
    <i r="1">
      <x v="154"/>
    </i>
    <i>
      <x v="145"/>
    </i>
    <i r="1">
      <x v="155"/>
    </i>
    <i>
      <x v="146"/>
    </i>
    <i r="1">
      <x v="156"/>
    </i>
    <i>
      <x v="147"/>
    </i>
    <i r="1">
      <x v="157"/>
    </i>
    <i>
      <x v="148"/>
    </i>
    <i r="1">
      <x v="158"/>
    </i>
    <i>
      <x v="149"/>
    </i>
    <i r="1">
      <x v="159"/>
    </i>
    <i>
      <x v="150"/>
    </i>
    <i r="1">
      <x v="160"/>
    </i>
    <i>
      <x v="151"/>
    </i>
    <i r="1">
      <x v="161"/>
    </i>
    <i>
      <x v="152"/>
    </i>
    <i r="1">
      <x v="162"/>
    </i>
    <i>
      <x v="153"/>
    </i>
    <i r="1">
      <x v="163"/>
    </i>
    <i>
      <x v="154"/>
    </i>
    <i r="1">
      <x v="164"/>
    </i>
    <i>
      <x v="155"/>
    </i>
    <i r="1">
      <x v="165"/>
    </i>
    <i>
      <x v="156"/>
    </i>
    <i r="1">
      <x v="166"/>
    </i>
    <i>
      <x v="157"/>
    </i>
    <i r="1">
      <x v="167"/>
    </i>
    <i>
      <x v="158"/>
    </i>
    <i r="1">
      <x v="168"/>
    </i>
    <i>
      <x v="159"/>
    </i>
    <i r="1">
      <x v="169"/>
    </i>
    <i>
      <x v="160"/>
    </i>
    <i r="1">
      <x v="170"/>
    </i>
    <i>
      <x v="161"/>
    </i>
    <i r="1">
      <x v="171"/>
    </i>
    <i>
      <x v="162"/>
    </i>
    <i r="1">
      <x v="172"/>
    </i>
    <i>
      <x v="163"/>
    </i>
    <i r="1">
      <x v="173"/>
    </i>
    <i>
      <x v="164"/>
    </i>
    <i r="1">
      <x v="174"/>
    </i>
    <i>
      <x v="165"/>
    </i>
    <i r="1">
      <x v="175"/>
    </i>
    <i>
      <x v="166"/>
    </i>
    <i r="1">
      <x v="176"/>
    </i>
    <i>
      <x v="167"/>
    </i>
    <i r="1">
      <x v="177"/>
    </i>
    <i>
      <x v="168"/>
    </i>
    <i r="1">
      <x v="178"/>
    </i>
    <i>
      <x v="169"/>
    </i>
    <i r="1">
      <x v="179"/>
    </i>
    <i>
      <x v="170"/>
    </i>
    <i r="1">
      <x v="180"/>
    </i>
    <i>
      <x v="171"/>
    </i>
    <i r="1">
      <x v="181"/>
    </i>
    <i>
      <x v="172"/>
    </i>
    <i r="1">
      <x v="182"/>
    </i>
    <i>
      <x v="173"/>
    </i>
    <i r="1">
      <x v="183"/>
    </i>
    <i>
      <x v="174"/>
    </i>
    <i r="1">
      <x v="184"/>
    </i>
    <i>
      <x v="175"/>
    </i>
    <i r="1">
      <x v="185"/>
    </i>
    <i>
      <x v="176"/>
    </i>
    <i r="1">
      <x v="186"/>
    </i>
    <i>
      <x v="177"/>
    </i>
    <i r="1">
      <x v="187"/>
    </i>
    <i>
      <x v="178"/>
    </i>
    <i r="1">
      <x v="188"/>
    </i>
    <i>
      <x v="179"/>
    </i>
    <i r="1">
      <x v="189"/>
    </i>
    <i>
      <x v="180"/>
    </i>
    <i r="1">
      <x v="190"/>
    </i>
    <i>
      <x v="181"/>
    </i>
    <i r="1">
      <x v="191"/>
    </i>
    <i>
      <x v="182"/>
    </i>
    <i r="1">
      <x v="192"/>
    </i>
    <i>
      <x v="183"/>
    </i>
    <i r="1">
      <x v="193"/>
    </i>
    <i>
      <x v="184"/>
    </i>
    <i r="1">
      <x v="194"/>
    </i>
    <i>
      <x v="185"/>
    </i>
    <i r="1">
      <x v="195"/>
    </i>
    <i>
      <x v="186"/>
    </i>
    <i r="1">
      <x v="196"/>
    </i>
    <i>
      <x v="187"/>
    </i>
    <i r="1">
      <x v="197"/>
    </i>
    <i r="1">
      <x v="198"/>
    </i>
    <i>
      <x v="188"/>
    </i>
    <i r="1">
      <x v="199"/>
    </i>
    <i>
      <x v="189"/>
    </i>
    <i r="1">
      <x v="200"/>
    </i>
    <i>
      <x v="190"/>
    </i>
    <i r="1">
      <x v="201"/>
    </i>
    <i>
      <x v="191"/>
    </i>
    <i r="1">
      <x v="202"/>
    </i>
    <i>
      <x v="192"/>
    </i>
    <i r="1">
      <x v="203"/>
    </i>
    <i>
      <x v="193"/>
    </i>
    <i r="1">
      <x v="204"/>
    </i>
    <i>
      <x v="194"/>
    </i>
    <i r="1">
      <x v="205"/>
    </i>
    <i>
      <x v="195"/>
    </i>
    <i r="1">
      <x v="206"/>
    </i>
    <i>
      <x v="196"/>
    </i>
    <i r="1">
      <x v="207"/>
    </i>
    <i>
      <x v="197"/>
    </i>
    <i r="1">
      <x v="208"/>
    </i>
    <i>
      <x v="198"/>
    </i>
    <i r="1">
      <x v="209"/>
    </i>
    <i>
      <x v="199"/>
    </i>
    <i r="1">
      <x v="210"/>
    </i>
    <i>
      <x v="200"/>
    </i>
    <i r="1">
      <x v="211"/>
    </i>
    <i>
      <x v="201"/>
    </i>
    <i r="1">
      <x v="212"/>
    </i>
    <i>
      <x v="202"/>
    </i>
    <i r="1">
      <x v="213"/>
    </i>
    <i>
      <x v="203"/>
    </i>
    <i r="1">
      <x v="214"/>
    </i>
    <i>
      <x v="204"/>
    </i>
    <i r="1">
      <x v="215"/>
    </i>
    <i>
      <x v="205"/>
    </i>
    <i r="1">
      <x v="216"/>
    </i>
    <i>
      <x v="206"/>
    </i>
    <i r="1">
      <x v="217"/>
    </i>
    <i>
      <x v="207"/>
    </i>
    <i r="1">
      <x v="218"/>
    </i>
    <i>
      <x v="208"/>
    </i>
    <i r="1">
      <x v="219"/>
    </i>
    <i>
      <x v="209"/>
    </i>
    <i r="1">
      <x v="220"/>
    </i>
    <i>
      <x v="210"/>
    </i>
    <i r="1">
      <x v="221"/>
    </i>
    <i>
      <x v="211"/>
    </i>
    <i r="1">
      <x v="222"/>
    </i>
    <i r="1">
      <x v="223"/>
    </i>
    <i>
      <x v="212"/>
    </i>
    <i r="1">
      <x v="224"/>
    </i>
    <i r="1">
      <x v="225"/>
    </i>
    <i>
      <x v="213"/>
    </i>
    <i r="1">
      <x v="226"/>
    </i>
    <i>
      <x v="214"/>
    </i>
    <i r="1">
      <x v="227"/>
    </i>
    <i r="1">
      <x v="228"/>
    </i>
    <i>
      <x v="215"/>
    </i>
    <i r="1">
      <x v="229"/>
    </i>
    <i>
      <x v="216"/>
    </i>
    <i r="1">
      <x v="230"/>
    </i>
    <i>
      <x v="217"/>
    </i>
    <i r="1">
      <x v="231"/>
    </i>
    <i>
      <x v="218"/>
    </i>
    <i r="1">
      <x v="232"/>
    </i>
    <i r="1">
      <x v="233"/>
    </i>
    <i>
      <x v="219"/>
    </i>
    <i r="1">
      <x v="234"/>
    </i>
    <i>
      <x v="220"/>
    </i>
    <i r="1">
      <x v="235"/>
    </i>
    <i>
      <x v="221"/>
    </i>
    <i r="1">
      <x v="236"/>
    </i>
    <i>
      <x v="222"/>
    </i>
    <i r="1">
      <x v="237"/>
    </i>
    <i>
      <x v="223"/>
    </i>
    <i r="1">
      <x v="238"/>
    </i>
    <i>
      <x v="224"/>
    </i>
    <i r="1">
      <x v="239"/>
    </i>
    <i>
      <x v="225"/>
    </i>
    <i r="1">
      <x v="240"/>
    </i>
    <i>
      <x v="226"/>
    </i>
    <i r="1">
      <x v="241"/>
    </i>
    <i>
      <x v="227"/>
    </i>
    <i r="1">
      <x v="242"/>
    </i>
    <i>
      <x v="228"/>
    </i>
    <i r="1">
      <x v="243"/>
    </i>
    <i>
      <x v="229"/>
    </i>
    <i r="1">
      <x v="244"/>
    </i>
    <i r="1">
      <x v="245"/>
    </i>
    <i>
      <x v="230"/>
    </i>
    <i r="1">
      <x v="246"/>
    </i>
    <i>
      <x v="231"/>
    </i>
    <i r="1">
      <x v="247"/>
    </i>
    <i>
      <x v="232"/>
    </i>
    <i r="1">
      <x v="248"/>
    </i>
    <i>
      <x v="233"/>
    </i>
    <i r="1">
      <x v="249"/>
    </i>
    <i>
      <x v="234"/>
    </i>
    <i r="1">
      <x v="250"/>
    </i>
    <i>
      <x v="235"/>
    </i>
    <i r="1">
      <x v="251"/>
    </i>
    <i>
      <x v="236"/>
    </i>
    <i r="1">
      <x v="252"/>
    </i>
    <i>
      <x v="237"/>
    </i>
    <i r="1">
      <x v="253"/>
    </i>
    <i>
      <x v="238"/>
    </i>
    <i r="1">
      <x v="254"/>
    </i>
    <i>
      <x v="239"/>
    </i>
    <i r="1">
      <x v="255"/>
    </i>
    <i>
      <x v="240"/>
    </i>
    <i r="1">
      <x v="256"/>
    </i>
    <i>
      <x v="241"/>
    </i>
    <i r="1">
      <x v="257"/>
    </i>
    <i>
      <x v="242"/>
    </i>
    <i r="1">
      <x v="258"/>
    </i>
    <i>
      <x v="243"/>
    </i>
    <i r="1">
      <x v="259"/>
    </i>
    <i>
      <x v="244"/>
    </i>
    <i r="1">
      <x v="260"/>
    </i>
    <i>
      <x v="245"/>
    </i>
    <i r="1">
      <x v="261"/>
    </i>
    <i>
      <x v="246"/>
    </i>
    <i r="1">
      <x v="262"/>
    </i>
    <i>
      <x v="247"/>
    </i>
    <i r="1">
      <x v="263"/>
    </i>
    <i>
      <x v="248"/>
    </i>
    <i r="1">
      <x v="264"/>
    </i>
    <i>
      <x v="249"/>
    </i>
    <i r="1">
      <x v="265"/>
    </i>
    <i>
      <x v="250"/>
    </i>
    <i r="1">
      <x v="266"/>
    </i>
    <i>
      <x v="251"/>
    </i>
    <i r="1">
      <x v="267"/>
    </i>
    <i>
      <x v="252"/>
    </i>
    <i r="1">
      <x v="268"/>
    </i>
    <i>
      <x v="253"/>
    </i>
    <i r="1">
      <x v="269"/>
    </i>
    <i>
      <x v="254"/>
    </i>
    <i r="1">
      <x v="270"/>
    </i>
    <i>
      <x v="255"/>
    </i>
    <i r="1">
      <x v="271"/>
    </i>
    <i>
      <x v="256"/>
    </i>
    <i r="1">
      <x v="272"/>
    </i>
    <i>
      <x v="257"/>
    </i>
    <i r="1">
      <x v="273"/>
    </i>
    <i>
      <x v="258"/>
    </i>
    <i r="1">
      <x v="274"/>
    </i>
    <i>
      <x v="259"/>
    </i>
    <i r="1">
      <x v="275"/>
    </i>
    <i>
      <x v="260"/>
    </i>
    <i r="1">
      <x v="276"/>
    </i>
    <i>
      <x v="261"/>
    </i>
    <i r="1">
      <x v="277"/>
    </i>
    <i r="1">
      <x v="278"/>
    </i>
    <i>
      <x v="262"/>
    </i>
    <i r="1">
      <x v="279"/>
    </i>
    <i>
      <x v="263"/>
    </i>
    <i r="1">
      <x v="280"/>
    </i>
    <i>
      <x v="264"/>
    </i>
    <i r="1">
      <x v="281"/>
    </i>
    <i>
      <x v="265"/>
    </i>
    <i r="1">
      <x v="282"/>
    </i>
    <i>
      <x v="266"/>
    </i>
    <i r="1">
      <x v="283"/>
    </i>
    <i>
      <x v="267"/>
    </i>
    <i r="1">
      <x v="284"/>
    </i>
    <i>
      <x v="268"/>
    </i>
    <i r="1">
      <x v="285"/>
    </i>
    <i>
      <x v="269"/>
    </i>
    <i r="1">
      <x v="286"/>
    </i>
    <i>
      <x v="270"/>
    </i>
    <i r="1">
      <x v="287"/>
    </i>
    <i>
      <x v="271"/>
    </i>
    <i r="1">
      <x v="288"/>
    </i>
    <i>
      <x v="272"/>
    </i>
    <i r="1">
      <x v="289"/>
    </i>
    <i>
      <x v="273"/>
    </i>
    <i r="1">
      <x v="290"/>
    </i>
    <i>
      <x v="274"/>
    </i>
    <i r="1">
      <x v="291"/>
    </i>
    <i>
      <x v="275"/>
    </i>
    <i r="1">
      <x v="292"/>
    </i>
    <i>
      <x v="276"/>
    </i>
    <i r="1">
      <x v="293"/>
    </i>
    <i>
      <x v="277"/>
    </i>
    <i r="1">
      <x v="294"/>
    </i>
    <i>
      <x v="278"/>
    </i>
    <i r="1">
      <x v="295"/>
    </i>
    <i>
      <x v="279"/>
    </i>
    <i r="1">
      <x v="296"/>
    </i>
    <i>
      <x v="280"/>
    </i>
    <i r="1">
      <x v="297"/>
    </i>
    <i>
      <x v="281"/>
    </i>
    <i r="1">
      <x v="298"/>
    </i>
    <i r="1">
      <x v="299"/>
    </i>
    <i>
      <x v="282"/>
    </i>
    <i r="1">
      <x v="300"/>
    </i>
    <i>
      <x v="283"/>
    </i>
    <i r="1">
      <x v="301"/>
    </i>
    <i>
      <x v="284"/>
    </i>
    <i r="1">
      <x v="302"/>
    </i>
    <i>
      <x v="285"/>
    </i>
    <i r="1">
      <x v="303"/>
    </i>
    <i>
      <x v="286"/>
    </i>
    <i r="1">
      <x v="304"/>
    </i>
    <i>
      <x v="287"/>
    </i>
    <i r="1">
      <x v="305"/>
    </i>
    <i>
      <x v="288"/>
    </i>
    <i r="1">
      <x v="306"/>
    </i>
    <i>
      <x v="289"/>
    </i>
    <i r="1">
      <x v="307"/>
    </i>
    <i>
      <x v="290"/>
    </i>
    <i r="1">
      <x v="308"/>
    </i>
    <i>
      <x v="291"/>
    </i>
    <i r="1">
      <x v="309"/>
    </i>
    <i>
      <x v="292"/>
    </i>
    <i r="1">
      <x v="310"/>
    </i>
    <i>
      <x v="293"/>
    </i>
    <i r="1">
      <x v="311"/>
    </i>
    <i>
      <x v="294"/>
    </i>
    <i r="1">
      <x v="312"/>
    </i>
    <i>
      <x v="295"/>
    </i>
    <i r="1">
      <x v="313"/>
    </i>
    <i>
      <x v="296"/>
    </i>
    <i r="1">
      <x v="314"/>
    </i>
    <i>
      <x v="297"/>
    </i>
    <i r="1">
      <x v="315"/>
    </i>
    <i>
      <x v="298"/>
    </i>
    <i r="1">
      <x v="316"/>
    </i>
    <i>
      <x v="299"/>
    </i>
    <i r="1">
      <x v="317"/>
    </i>
    <i>
      <x v="300"/>
    </i>
    <i r="1">
      <x v="318"/>
    </i>
    <i>
      <x v="301"/>
    </i>
    <i r="1">
      <x v="319"/>
    </i>
    <i>
      <x v="302"/>
    </i>
    <i r="1">
      <x v="320"/>
    </i>
    <i>
      <x v="303"/>
    </i>
    <i r="1">
      <x v="321"/>
    </i>
    <i>
      <x v="304"/>
    </i>
    <i r="1">
      <x v="322"/>
    </i>
    <i>
      <x v="305"/>
    </i>
    <i r="1">
      <x v="323"/>
    </i>
    <i>
      <x v="306"/>
    </i>
    <i r="1">
      <x v="324"/>
    </i>
    <i>
      <x v="307"/>
    </i>
    <i r="1">
      <x v="325"/>
    </i>
    <i>
      <x v="308"/>
    </i>
    <i r="1">
      <x v="326"/>
    </i>
    <i>
      <x v="309"/>
    </i>
    <i r="1">
      <x v="327"/>
    </i>
    <i>
      <x v="310"/>
    </i>
    <i r="1">
      <x v="328"/>
    </i>
    <i>
      <x v="311"/>
    </i>
    <i r="1">
      <x v="329"/>
    </i>
    <i>
      <x v="312"/>
    </i>
    <i r="1">
      <x v="330"/>
    </i>
    <i>
      <x v="313"/>
    </i>
    <i r="1">
      <x v="331"/>
    </i>
    <i>
      <x v="314"/>
    </i>
    <i r="1">
      <x v="332"/>
    </i>
    <i>
      <x v="315"/>
    </i>
    <i r="1">
      <x v="333"/>
    </i>
    <i>
      <x v="316"/>
    </i>
    <i r="1">
      <x v="334"/>
    </i>
    <i>
      <x v="317"/>
    </i>
    <i r="1">
      <x v="335"/>
    </i>
    <i>
      <x v="318"/>
    </i>
    <i r="1">
      <x v="336"/>
    </i>
    <i>
      <x v="319"/>
    </i>
    <i r="1">
      <x v="337"/>
    </i>
    <i>
      <x v="320"/>
    </i>
    <i r="1">
      <x v="338"/>
    </i>
    <i>
      <x v="321"/>
    </i>
    <i r="1">
      <x v="339"/>
    </i>
    <i>
      <x v="322"/>
    </i>
    <i r="1">
      <x v="340"/>
    </i>
    <i>
      <x v="323"/>
    </i>
    <i r="1">
      <x v="341"/>
    </i>
    <i>
      <x v="324"/>
    </i>
    <i r="1">
      <x v="342"/>
    </i>
    <i>
      <x v="325"/>
    </i>
    <i r="1">
      <x v="343"/>
    </i>
    <i>
      <x v="326"/>
    </i>
    <i r="1">
      <x v="344"/>
    </i>
    <i r="1">
      <x v="345"/>
    </i>
    <i>
      <x v="327"/>
    </i>
    <i r="1">
      <x v="346"/>
    </i>
    <i>
      <x v="328"/>
    </i>
    <i r="1">
      <x v="347"/>
    </i>
    <i>
      <x v="329"/>
    </i>
    <i r="1">
      <x v="348"/>
    </i>
    <i>
      <x v="330"/>
    </i>
    <i r="1">
      <x v="349"/>
    </i>
    <i>
      <x v="331"/>
    </i>
    <i r="1">
      <x v="350"/>
    </i>
    <i>
      <x v="332"/>
    </i>
    <i r="1">
      <x v="351"/>
    </i>
    <i>
      <x v="333"/>
    </i>
    <i r="1">
      <x v="352"/>
    </i>
    <i>
      <x v="334"/>
    </i>
    <i r="1">
      <x v="353"/>
    </i>
    <i>
      <x v="335"/>
    </i>
    <i r="1">
      <x v="354"/>
    </i>
    <i>
      <x v="336"/>
    </i>
    <i r="1">
      <x v="355"/>
    </i>
    <i>
      <x v="337"/>
    </i>
    <i r="1">
      <x v="356"/>
    </i>
    <i>
      <x v="338"/>
    </i>
    <i r="1">
      <x v="357"/>
    </i>
    <i>
      <x v="339"/>
    </i>
    <i r="1">
      <x v="358"/>
    </i>
    <i>
      <x v="340"/>
    </i>
    <i r="1">
      <x v="359"/>
    </i>
    <i>
      <x v="341"/>
    </i>
    <i r="1">
      <x v="360"/>
    </i>
    <i>
      <x v="342"/>
    </i>
    <i r="1">
      <x v="361"/>
    </i>
    <i>
      <x v="343"/>
    </i>
    <i r="1">
      <x v="362"/>
    </i>
    <i>
      <x v="344"/>
    </i>
    <i r="1">
      <x v="363"/>
    </i>
    <i>
      <x v="345"/>
    </i>
    <i r="1">
      <x v="364"/>
    </i>
    <i>
      <x v="346"/>
    </i>
    <i r="1">
      <x v="365"/>
    </i>
    <i>
      <x v="347"/>
    </i>
    <i r="1">
      <x v="366"/>
    </i>
    <i>
      <x v="348"/>
    </i>
    <i r="1">
      <x v="366"/>
    </i>
    <i>
      <x v="349"/>
    </i>
    <i r="1">
      <x v="366"/>
    </i>
    <i>
      <x v="350"/>
    </i>
    <i r="1">
      <x v="366"/>
    </i>
    <i>
      <x v="351"/>
    </i>
    <i r="1">
      <x v="366"/>
    </i>
    <i>
      <x v="352"/>
    </i>
    <i r="1">
      <x v="366"/>
    </i>
    <i>
      <x v="353"/>
    </i>
    <i r="1">
      <x v="366"/>
    </i>
    <i>
      <x v="354"/>
    </i>
    <i r="1">
      <x v="366"/>
    </i>
    <i>
      <x v="355"/>
    </i>
    <i r="1">
      <x v="366"/>
    </i>
    <i>
      <x v="356"/>
    </i>
    <i r="1">
      <x v="366"/>
    </i>
    <i>
      <x v="357"/>
    </i>
    <i r="1">
      <x v="366"/>
    </i>
    <i>
      <x v="358"/>
    </i>
    <i r="1">
      <x v="366"/>
    </i>
    <i>
      <x v="359"/>
    </i>
    <i r="1">
      <x v="366"/>
    </i>
    <i>
      <x v="360"/>
    </i>
    <i r="1">
      <x v="366"/>
    </i>
    <i>
      <x v="361"/>
    </i>
    <i r="1">
      <x v="366"/>
    </i>
    <i>
      <x v="362"/>
    </i>
    <i r="1">
      <x v="366"/>
    </i>
    <i>
      <x v="363"/>
    </i>
    <i r="1">
      <x v="366"/>
    </i>
    <i>
      <x v="364"/>
    </i>
    <i r="1">
      <x v="366"/>
    </i>
    <i>
      <x v="365"/>
    </i>
    <i r="1">
      <x v="366"/>
    </i>
    <i>
      <x v="366"/>
    </i>
    <i r="1">
      <x v="366"/>
    </i>
    <i>
      <x v="367"/>
    </i>
    <i r="1">
      <x v="366"/>
    </i>
    <i>
      <x v="368"/>
    </i>
    <i r="1">
      <x v="366"/>
    </i>
    <i>
      <x v="369"/>
    </i>
    <i r="1">
      <x v="366"/>
    </i>
    <i>
      <x v="370"/>
    </i>
    <i r="1">
      <x v="366"/>
    </i>
    <i>
      <x v="371"/>
    </i>
    <i r="1">
      <x v="366"/>
    </i>
    <i>
      <x v="372"/>
    </i>
    <i r="1">
      <x v="366"/>
    </i>
    <i>
      <x v="373"/>
    </i>
    <i r="1">
      <x v="366"/>
    </i>
    <i>
      <x v="374"/>
    </i>
    <i r="1">
      <x v="366"/>
    </i>
    <i>
      <x v="375"/>
    </i>
    <i r="1">
      <x v="366"/>
    </i>
    <i>
      <x v="376"/>
    </i>
    <i r="1">
      <x v="366"/>
    </i>
    <i>
      <x v="377"/>
    </i>
    <i r="1">
      <x v="366"/>
    </i>
    <i>
      <x v="378"/>
    </i>
    <i r="1">
      <x v="366"/>
    </i>
    <i>
      <x v="379"/>
    </i>
    <i r="1">
      <x v="366"/>
    </i>
    <i>
      <x v="380"/>
    </i>
    <i r="1">
      <x v="366"/>
    </i>
    <i>
      <x v="381"/>
    </i>
    <i r="1">
      <x v="366"/>
    </i>
    <i>
      <x v="382"/>
    </i>
    <i r="1">
      <x v="366"/>
    </i>
    <i>
      <x v="383"/>
    </i>
    <i r="1">
      <x v="366"/>
    </i>
    <i>
      <x v="384"/>
    </i>
    <i r="1">
      <x v="366"/>
    </i>
    <i>
      <x v="385"/>
    </i>
    <i r="1">
      <x v="366"/>
    </i>
    <i>
      <x v="386"/>
    </i>
    <i r="1">
      <x v="366"/>
    </i>
    <i>
      <x v="387"/>
    </i>
    <i r="1">
      <x v="366"/>
    </i>
    <i>
      <x v="388"/>
    </i>
    <i r="1">
      <x v="366"/>
    </i>
    <i>
      <x v="389"/>
    </i>
    <i r="1">
      <x v="366"/>
    </i>
    <i>
      <x v="390"/>
    </i>
    <i r="1">
      <x v="366"/>
    </i>
    <i>
      <x v="391"/>
    </i>
    <i r="1">
      <x v="366"/>
    </i>
    <i>
      <x v="392"/>
    </i>
    <i r="1">
      <x v="366"/>
    </i>
    <i>
      <x v="393"/>
    </i>
    <i r="1">
      <x v="366"/>
    </i>
    <i>
      <x v="394"/>
    </i>
    <i r="1">
      <x v="366"/>
    </i>
    <i>
      <x v="395"/>
    </i>
    <i r="1">
      <x v="366"/>
    </i>
    <i>
      <x v="396"/>
    </i>
    <i r="1">
      <x v="366"/>
    </i>
    <i>
      <x v="397"/>
    </i>
    <i r="1">
      <x v="366"/>
    </i>
    <i>
      <x v="398"/>
    </i>
    <i r="1">
      <x v="366"/>
    </i>
    <i>
      <x v="399"/>
    </i>
    <i r="1">
      <x v="366"/>
    </i>
    <i>
      <x v="400"/>
    </i>
    <i r="1">
      <x v="366"/>
    </i>
    <i>
      <x v="401"/>
    </i>
    <i r="1">
      <x v="366"/>
    </i>
    <i>
      <x v="402"/>
    </i>
    <i r="1">
      <x v="366"/>
    </i>
    <i>
      <x v="403"/>
    </i>
    <i r="1">
      <x v="366"/>
    </i>
    <i>
      <x v="404"/>
    </i>
    <i r="1">
      <x v="366"/>
    </i>
    <i>
      <x v="405"/>
    </i>
    <i r="1">
      <x v="366"/>
    </i>
    <i>
      <x v="406"/>
    </i>
    <i r="1">
      <x v="366"/>
    </i>
    <i>
      <x v="407"/>
    </i>
    <i r="1">
      <x v="366"/>
    </i>
    <i>
      <x v="408"/>
    </i>
    <i r="1">
      <x v="366"/>
    </i>
    <i>
      <x v="409"/>
    </i>
    <i r="1">
      <x v="366"/>
    </i>
    <i>
      <x v="410"/>
    </i>
    <i r="1">
      <x v="366"/>
    </i>
    <i>
      <x v="411"/>
    </i>
    <i r="1">
      <x v="366"/>
    </i>
    <i>
      <x v="412"/>
    </i>
    <i r="1">
      <x v="366"/>
    </i>
    <i>
      <x v="413"/>
    </i>
    <i r="1">
      <x v="366"/>
    </i>
    <i>
      <x v="414"/>
    </i>
    <i r="1">
      <x v="366"/>
    </i>
    <i>
      <x v="415"/>
    </i>
    <i r="1">
      <x v="366"/>
    </i>
    <i>
      <x v="416"/>
    </i>
    <i r="1">
      <x v="366"/>
    </i>
    <i>
      <x v="417"/>
    </i>
    <i r="1">
      <x v="366"/>
    </i>
    <i>
      <x v="418"/>
    </i>
    <i r="1">
      <x v="366"/>
    </i>
    <i>
      <x v="419"/>
    </i>
    <i r="1">
      <x v="366"/>
    </i>
    <i>
      <x v="420"/>
    </i>
    <i r="1">
      <x v="366"/>
    </i>
    <i>
      <x v="421"/>
    </i>
    <i r="1">
      <x v="366"/>
    </i>
    <i>
      <x v="422"/>
    </i>
    <i r="1">
      <x v="366"/>
    </i>
    <i>
      <x v="423"/>
    </i>
    <i r="1">
      <x v="366"/>
    </i>
    <i>
      <x v="424"/>
    </i>
    <i r="1">
      <x v="366"/>
    </i>
    <i>
      <x v="425"/>
    </i>
    <i r="1">
      <x v="366"/>
    </i>
    <i>
      <x v="426"/>
    </i>
    <i r="1">
      <x v="366"/>
    </i>
    <i>
      <x v="427"/>
    </i>
    <i r="1">
      <x v="366"/>
    </i>
    <i>
      <x v="428"/>
    </i>
    <i r="1">
      <x v="366"/>
    </i>
    <i>
      <x v="429"/>
    </i>
    <i r="1">
      <x v="366"/>
    </i>
    <i>
      <x v="430"/>
    </i>
    <i r="1">
      <x v="366"/>
    </i>
    <i>
      <x v="431"/>
    </i>
    <i r="1">
      <x v="366"/>
    </i>
    <i>
      <x v="432"/>
    </i>
    <i r="1">
      <x v="366"/>
    </i>
    <i>
      <x v="433"/>
    </i>
    <i r="1">
      <x v="366"/>
    </i>
    <i>
      <x v="434"/>
    </i>
    <i r="1">
      <x v="366"/>
    </i>
    <i>
      <x v="435"/>
    </i>
    <i r="1">
      <x v="366"/>
    </i>
    <i>
      <x v="436"/>
    </i>
    <i r="1">
      <x v="366"/>
    </i>
    <i>
      <x v="437"/>
    </i>
    <i r="1">
      <x v="366"/>
    </i>
    <i>
      <x v="438"/>
    </i>
    <i r="1">
      <x v="366"/>
    </i>
    <i>
      <x v="439"/>
    </i>
    <i r="1">
      <x v="366"/>
    </i>
    <i>
      <x v="440"/>
    </i>
    <i r="1">
      <x v="366"/>
    </i>
    <i>
      <x v="441"/>
    </i>
    <i r="1">
      <x v="366"/>
    </i>
    <i>
      <x v="442"/>
    </i>
    <i r="1">
      <x v="366"/>
    </i>
    <i>
      <x v="443"/>
    </i>
    <i r="1">
      <x v="366"/>
    </i>
    <i>
      <x v="444"/>
    </i>
    <i r="1">
      <x v="366"/>
    </i>
    <i>
      <x v="445"/>
    </i>
    <i r="1">
      <x v="366"/>
    </i>
    <i>
      <x v="446"/>
    </i>
    <i r="1">
      <x v="366"/>
    </i>
    <i>
      <x v="447"/>
    </i>
    <i r="1">
      <x v="366"/>
    </i>
    <i>
      <x v="448"/>
    </i>
    <i r="1">
      <x v="366"/>
    </i>
    <i>
      <x v="449"/>
    </i>
    <i r="1">
      <x v="366"/>
    </i>
    <i>
      <x v="450"/>
    </i>
    <i r="1">
      <x v="366"/>
    </i>
    <i>
      <x v="451"/>
    </i>
    <i r="1">
      <x v="366"/>
    </i>
    <i>
      <x v="452"/>
    </i>
    <i r="1">
      <x v="366"/>
    </i>
    <i>
      <x v="453"/>
    </i>
    <i r="1">
      <x v="366"/>
    </i>
    <i>
      <x v="454"/>
    </i>
    <i r="1">
      <x v="366"/>
    </i>
    <i>
      <x v="455"/>
    </i>
    <i r="1">
      <x v="366"/>
    </i>
    <i>
      <x v="456"/>
    </i>
    <i r="1">
      <x v="366"/>
    </i>
    <i>
      <x v="457"/>
    </i>
    <i r="1">
      <x v="366"/>
    </i>
    <i>
      <x v="458"/>
    </i>
    <i r="1">
      <x v="366"/>
    </i>
    <i>
      <x v="459"/>
    </i>
    <i r="1">
      <x v="366"/>
    </i>
    <i>
      <x v="460"/>
    </i>
    <i r="1">
      <x v="366"/>
    </i>
    <i>
      <x v="461"/>
    </i>
    <i r="1">
      <x v="366"/>
    </i>
    <i>
      <x v="462"/>
    </i>
    <i r="1">
      <x v="366"/>
    </i>
    <i>
      <x v="463"/>
    </i>
    <i r="1">
      <x v="366"/>
    </i>
    <i>
      <x v="464"/>
    </i>
    <i r="1">
      <x v="366"/>
    </i>
    <i>
      <x v="465"/>
    </i>
    <i r="1">
      <x v="366"/>
    </i>
    <i>
      <x v="466"/>
    </i>
    <i r="1">
      <x v="366"/>
    </i>
    <i>
      <x v="467"/>
    </i>
    <i r="1">
      <x v="366"/>
    </i>
    <i>
      <x v="468"/>
    </i>
    <i r="1">
      <x v="366"/>
    </i>
    <i>
      <x v="469"/>
    </i>
    <i r="1">
      <x v="366"/>
    </i>
    <i>
      <x v="470"/>
    </i>
    <i r="1">
      <x v="366"/>
    </i>
    <i>
      <x v="471"/>
    </i>
    <i r="1">
      <x v="366"/>
    </i>
    <i>
      <x v="472"/>
    </i>
    <i r="1">
      <x v="366"/>
    </i>
    <i>
      <x v="473"/>
    </i>
    <i r="1">
      <x v="366"/>
    </i>
    <i>
      <x v="474"/>
    </i>
    <i r="1">
      <x v="366"/>
    </i>
    <i>
      <x v="475"/>
    </i>
    <i r="1">
      <x v="366"/>
    </i>
    <i>
      <x v="476"/>
    </i>
    <i r="1">
      <x v="366"/>
    </i>
    <i>
      <x v="477"/>
    </i>
    <i r="1">
      <x v="366"/>
    </i>
    <i>
      <x v="478"/>
    </i>
    <i r="1">
      <x v="366"/>
    </i>
    <i>
      <x v="479"/>
    </i>
    <i r="1">
      <x v="366"/>
    </i>
    <i>
      <x v="480"/>
    </i>
    <i r="1">
      <x v="366"/>
    </i>
    <i>
      <x v="481"/>
    </i>
    <i r="1">
      <x v="366"/>
    </i>
    <i>
      <x v="482"/>
    </i>
    <i r="1">
      <x v="366"/>
    </i>
    <i>
      <x v="483"/>
    </i>
    <i r="1">
      <x v="366"/>
    </i>
    <i>
      <x v="484"/>
    </i>
    <i r="1">
      <x v="366"/>
    </i>
    <i>
      <x v="485"/>
    </i>
    <i r="1">
      <x v="366"/>
    </i>
    <i>
      <x v="486"/>
    </i>
    <i r="1">
      <x v="366"/>
    </i>
    <i>
      <x v="487"/>
    </i>
    <i r="1">
      <x v="366"/>
    </i>
    <i>
      <x v="488"/>
    </i>
    <i r="1">
      <x v="366"/>
    </i>
    <i>
      <x v="489"/>
    </i>
    <i r="1">
      <x v="366"/>
    </i>
    <i>
      <x v="490"/>
    </i>
    <i r="1">
      <x v="366"/>
    </i>
    <i>
      <x v="491"/>
    </i>
    <i r="1">
      <x v="366"/>
    </i>
    <i>
      <x v="492"/>
    </i>
    <i r="1">
      <x v="366"/>
    </i>
    <i>
      <x v="493"/>
    </i>
    <i r="1">
      <x v="366"/>
    </i>
    <i>
      <x v="494"/>
    </i>
    <i r="1">
      <x v="366"/>
    </i>
    <i>
      <x v="495"/>
    </i>
    <i r="1">
      <x v="366"/>
    </i>
    <i>
      <x v="496"/>
    </i>
    <i r="1">
      <x v="366"/>
    </i>
    <i>
      <x v="497"/>
    </i>
    <i r="1">
      <x v="366"/>
    </i>
    <i>
      <x v="498"/>
    </i>
    <i r="1">
      <x v="366"/>
    </i>
    <i>
      <x v="499"/>
    </i>
    <i r="1">
      <x v="366"/>
    </i>
    <i>
      <x v="500"/>
    </i>
    <i r="1">
      <x v="366"/>
    </i>
    <i>
      <x v="501"/>
    </i>
    <i r="1">
      <x v="366"/>
    </i>
    <i>
      <x v="502"/>
    </i>
    <i r="1">
      <x v="366"/>
    </i>
    <i>
      <x v="503"/>
    </i>
    <i r="1">
      <x v="366"/>
    </i>
    <i>
      <x v="504"/>
    </i>
    <i r="1">
      <x v="366"/>
    </i>
    <i>
      <x v="505"/>
    </i>
    <i r="1">
      <x v="366"/>
    </i>
    <i>
      <x v="506"/>
    </i>
    <i r="1">
      <x v="366"/>
    </i>
    <i>
      <x v="507"/>
    </i>
    <i r="1">
      <x v="366"/>
    </i>
    <i>
      <x v="508"/>
    </i>
    <i r="1">
      <x v="366"/>
    </i>
    <i>
      <x v="509"/>
    </i>
    <i r="1">
      <x v="366"/>
    </i>
    <i>
      <x v="510"/>
    </i>
    <i r="1">
      <x v="366"/>
    </i>
    <i>
      <x v="511"/>
    </i>
    <i r="1">
      <x v="366"/>
    </i>
    <i>
      <x v="512"/>
    </i>
    <i r="1">
      <x v="366"/>
    </i>
    <i>
      <x v="513"/>
    </i>
    <i r="1">
      <x v="366"/>
    </i>
    <i>
      <x v="514"/>
    </i>
    <i r="1">
      <x v="366"/>
    </i>
    <i>
      <x v="515"/>
    </i>
    <i r="1">
      <x v="366"/>
    </i>
    <i>
      <x v="516"/>
    </i>
    <i r="1">
      <x v="366"/>
    </i>
    <i>
      <x v="517"/>
    </i>
    <i r="1">
      <x v="366"/>
    </i>
    <i>
      <x v="518"/>
    </i>
    <i r="1">
      <x v="366"/>
    </i>
    <i>
      <x v="519"/>
    </i>
    <i r="1">
      <x v="366"/>
    </i>
    <i>
      <x v="520"/>
    </i>
    <i r="1">
      <x v="366"/>
    </i>
    <i>
      <x v="521"/>
    </i>
    <i r="1">
      <x v="366"/>
    </i>
    <i>
      <x v="522"/>
    </i>
    <i r="1">
      <x v="366"/>
    </i>
    <i>
      <x v="523"/>
    </i>
    <i r="1">
      <x v="366"/>
    </i>
    <i>
      <x v="524"/>
    </i>
    <i r="1">
      <x v="366"/>
    </i>
    <i>
      <x v="525"/>
    </i>
    <i r="1">
      <x v="366"/>
    </i>
    <i>
      <x v="526"/>
    </i>
    <i r="1">
      <x v="366"/>
    </i>
    <i>
      <x v="527"/>
    </i>
    <i r="1">
      <x v="366"/>
    </i>
    <i>
      <x v="528"/>
    </i>
    <i r="1">
      <x v="366"/>
    </i>
    <i>
      <x v="529"/>
    </i>
    <i r="1">
      <x v="366"/>
    </i>
    <i>
      <x v="530"/>
    </i>
    <i r="1">
      <x v="366"/>
    </i>
    <i>
      <x v="531"/>
    </i>
    <i r="1">
      <x v="366"/>
    </i>
    <i>
      <x v="532"/>
    </i>
    <i r="1">
      <x v="366"/>
    </i>
    <i>
      <x v="533"/>
    </i>
    <i r="1">
      <x v="366"/>
    </i>
    <i>
      <x v="534"/>
    </i>
    <i r="1">
      <x v="366"/>
    </i>
    <i>
      <x v="535"/>
    </i>
    <i r="1">
      <x v="366"/>
    </i>
    <i>
      <x v="536"/>
    </i>
    <i r="1">
      <x v="366"/>
    </i>
    <i>
      <x v="537"/>
    </i>
    <i r="1">
      <x v="366"/>
    </i>
    <i>
      <x v="538"/>
    </i>
    <i r="1">
      <x v="366"/>
    </i>
    <i>
      <x v="539"/>
    </i>
    <i r="1">
      <x v="366"/>
    </i>
    <i>
      <x v="540"/>
    </i>
    <i r="1">
      <x v="366"/>
    </i>
    <i>
      <x v="541"/>
    </i>
    <i r="1">
      <x v="366"/>
    </i>
    <i>
      <x v="542"/>
    </i>
    <i r="1">
      <x v="366"/>
    </i>
    <i>
      <x v="543"/>
    </i>
    <i r="1">
      <x v="366"/>
    </i>
    <i>
      <x v="544"/>
    </i>
    <i r="1">
      <x v="366"/>
    </i>
    <i>
      <x v="545"/>
    </i>
    <i r="1">
      <x v="366"/>
    </i>
    <i>
      <x v="546"/>
    </i>
    <i r="1">
      <x v="366"/>
    </i>
    <i>
      <x v="547"/>
    </i>
    <i r="1">
      <x v="366"/>
    </i>
    <i>
      <x v="548"/>
    </i>
    <i r="1">
      <x v="366"/>
    </i>
    <i>
      <x v="549"/>
    </i>
    <i r="1">
      <x v="366"/>
    </i>
    <i>
      <x v="550"/>
    </i>
    <i r="1">
      <x v="366"/>
    </i>
    <i>
      <x v="551"/>
    </i>
    <i r="1">
      <x v="366"/>
    </i>
    <i>
      <x v="552"/>
    </i>
    <i r="1">
      <x v="366"/>
    </i>
    <i>
      <x v="553"/>
    </i>
    <i r="1">
      <x v="366"/>
    </i>
    <i>
      <x v="554"/>
    </i>
    <i r="1">
      <x v="366"/>
    </i>
    <i>
      <x v="555"/>
    </i>
    <i r="1">
      <x v="366"/>
    </i>
    <i>
      <x v="556"/>
    </i>
    <i r="1">
      <x v="366"/>
    </i>
    <i>
      <x v="557"/>
    </i>
    <i r="1">
      <x v="366"/>
    </i>
    <i>
      <x v="558"/>
    </i>
    <i r="1">
      <x v="36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B36D01-BC5C-4090-AB7B-B0DDE65CBB51}" name="Table1" displayName="Table1" ref="A1:A368" totalsRowShown="0" headerRowBorderDxfId="26" tableBorderDxfId="25">
  <autoFilter ref="A1:A368" xr:uid="{0CB36D01-BC5C-4090-AB7B-B0DDE65CBB51}"/>
  <sortState xmlns:xlrd2="http://schemas.microsoft.com/office/spreadsheetml/2017/richdata2" ref="A2:A368">
    <sortCondition ref="A1:A368"/>
  </sortState>
  <tableColumns count="1">
    <tableColumn id="1" xr3:uid="{98B260B6-CCA9-43CD-9F2D-CD876FE0E465}" name="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00703E-86FA-4692-8D07-A6ADDE684690}" name="Table3" displayName="Table3" ref="B1:B620" totalsRowShown="0" headerRowDxfId="24" headerRowBorderDxfId="23" tableBorderDxfId="22">
  <autoFilter ref="B1:B620" xr:uid="{7900703E-86FA-4692-8D07-A6ADDE684690}"/>
  <sortState xmlns:xlrd2="http://schemas.microsoft.com/office/spreadsheetml/2017/richdata2" ref="B2:B620">
    <sortCondition ref="B1:B620"/>
  </sortState>
  <tableColumns count="1">
    <tableColumn id="1" xr3:uid="{32BC7C1F-4441-430D-BF42-7E0BD51ADB51}" name="Sensor/Calculation Ta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6C80DA-AFEE-4046-9B0F-387BC6B398CB}" name="Table35" displayName="Table35" ref="H1:J589" totalsRowShown="0" headerRowDxfId="21" dataDxfId="19" headerRowBorderDxfId="20" tableBorderDxfId="18">
  <autoFilter ref="H1:J589" xr:uid="{EE6C80DA-AFEE-4046-9B0F-387BC6B398CB}"/>
  <sortState xmlns:xlrd2="http://schemas.microsoft.com/office/spreadsheetml/2017/richdata2" ref="H2:J589">
    <sortCondition descending="1" ref="J1:J589"/>
  </sortState>
  <tableColumns count="3">
    <tableColumn id="1" xr3:uid="{FA98934A-C873-40DD-9AF4-D539FD32402E}" name="IDI Tags" dataDxfId="17" dataCellStyle="Normal"/>
    <tableColumn id="2" xr3:uid="{8E34BC05-8CD4-47FB-ACFE-6C1E0CD219BB}" name="R&amp;D Tags" dataDxfId="16" dataCellStyle="Normal"/>
    <tableColumn id="3" xr3:uid="{7F22C27E-9AF4-43C8-88E2-53D13599BACC}" name="TAGS THAT MATCH (R&amp;D = IDI)" dataDxfId="15" dataCellStyle="Normal">
      <calculatedColumnFormula>IFERROR(VLOOKUP(Table35[[#This Row],[R&amp;D Tags]],H:H,1,FALSE), " 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51CFFA-7D1C-4620-9071-4C275A242378}" name="Table16" displayName="Table16" ref="A1:A368" totalsRowShown="0" headerRowBorderDxfId="14" tableBorderDxfId="13">
  <autoFilter ref="A1:A368" xr:uid="{0CB36D01-BC5C-4090-AB7B-B0DDE65CBB51}"/>
  <sortState xmlns:xlrd2="http://schemas.microsoft.com/office/spreadsheetml/2017/richdata2" ref="A2:A368">
    <sortCondition ref="A1:A368"/>
  </sortState>
  <tableColumns count="1">
    <tableColumn id="1" xr3:uid="{4922CB27-6A7E-4FCA-88E9-A1680C79AEF5}" name="Tag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15FAAF-1D26-49ED-82E6-7B4A32B3668B}" name="Table37" displayName="Table37" ref="B1:B620" totalsRowShown="0" headerRowDxfId="12" headerRowBorderDxfId="11" tableBorderDxfId="10">
  <autoFilter ref="B1:B620" xr:uid="{7900703E-86FA-4692-8D07-A6ADDE684690}"/>
  <sortState xmlns:xlrd2="http://schemas.microsoft.com/office/spreadsheetml/2017/richdata2" ref="B2:B620">
    <sortCondition ref="B1:B620"/>
  </sortState>
  <tableColumns count="1">
    <tableColumn id="1" xr3:uid="{B2116BA0-3B59-45E5-B699-C05211FE5426}" name="Sensor/Calculation Tag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277F9E-1976-429A-8BFB-8564BE60E642}" name="Table358" displayName="Table358" ref="H1:J589" totalsRowShown="0" headerRowDxfId="9" dataDxfId="7" headerRowBorderDxfId="8" tableBorderDxfId="6">
  <autoFilter ref="H1:J589" xr:uid="{EE6C80DA-AFEE-4046-9B0F-387BC6B398CB}"/>
  <sortState xmlns:xlrd2="http://schemas.microsoft.com/office/spreadsheetml/2017/richdata2" ref="H2:J589">
    <sortCondition descending="1" ref="J1:J589"/>
  </sortState>
  <tableColumns count="3">
    <tableColumn id="1" xr3:uid="{2BEBFEAF-437E-434B-AF41-7FCC6BC01001}" name="IDI Tags" dataDxfId="5" dataCellStyle="Normal"/>
    <tableColumn id="2" xr3:uid="{2673B5BF-3BC1-446E-A56E-E904CEB2FE65}" name="R&amp;D Tags" dataDxfId="4" dataCellStyle="Normal"/>
    <tableColumn id="3" xr3:uid="{3F929416-FDE8-4832-A99E-8B4018317157}" name="DOES R&amp;D = IDI?" dataDxfId="3" dataCellStyle="Normal">
      <calculatedColumnFormula>IFERROR(VLOOKUP(Table358[[#This Row],[R&amp;D Tags]],'Old List of R&amp;D Tags vs IDI'!H:H,1,FALSE), " ")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77B77-CFBE-4B27-BB63-C90BEAF0FCD9}" name="Table2" displayName="Table2" ref="B1:D589" totalsRowShown="0">
  <autoFilter ref="B1:D589" xr:uid="{60F77B77-CFBE-4B27-BB63-C90BEAF0FCD9}"/>
  <sortState xmlns:xlrd2="http://schemas.microsoft.com/office/spreadsheetml/2017/richdata2" ref="B2:D589">
    <sortCondition descending="1" ref="D1:D589"/>
  </sortState>
  <tableColumns count="3">
    <tableColumn id="1" xr3:uid="{4C876E87-BE08-4317-A767-5FFB1F7A3881}" name="IDI" dataDxfId="2"/>
    <tableColumn id="2" xr3:uid="{978EB95A-FBAA-4E84-9A5F-37A170F84511}" name="TAGS NEW R&amp;D"/>
    <tableColumn id="3" xr3:uid="{03C003CE-6A51-4725-B3A7-432C833593DC}" name="IS R&amp;D Tag in IDI?" dataDxfId="1">
      <calculatedColumnFormula>IFERROR(VLOOKUP(Table2[[#This Row],[TAGS NEW R&amp;D]],B:B,1,FALSE), " ")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ACB880-F631-460D-9A11-475CCD21ABA6}" name="Table9" displayName="Table9" ref="A1:I67" totalsRowShown="0" headerRowDxfId="0">
  <autoFilter ref="A1:I67" xr:uid="{7EACB880-F631-460D-9A11-475CCD21ABA6}"/>
  <tableColumns count="9">
    <tableColumn id="9" xr3:uid="{C6C0AEFC-1234-4C8E-962D-A0A5036E3F75}" name="Column1"/>
    <tableColumn id="1" xr3:uid="{8FF5DC7D-E2EE-491D-96C4-CE157EB445EF}" name="TAGS"/>
    <tableColumn id="8" xr3:uid="{0F276A9A-83F3-4BAA-BEF7-096F73895FE3}" name="tag corrected"/>
    <tableColumn id="2" xr3:uid="{983DE202-8CDD-4347-9003-2C169CF5A355}" name="TAG DESC/NAME"/>
    <tableColumn id="4" xr3:uid="{C945EE27-1C96-4483-9371-39BBB9A3C1BF}" name="TAG DESC/NAME ENGLISH TRANSLATION/STANDARDISATION IF NEEDED"/>
    <tableColumn id="3" xr3:uid="{E5C054D2-752D-4EDB-98DF-CFC930C4C297}" name="UNITS"/>
    <tableColumn id="5" xr3:uid="{03E4B946-6E4A-4842-9636-62263747C505}" name="ASSET"/>
    <tableColumn id="6" xr3:uid="{893D14BB-8582-4DE1-902B-4EE2998B5ADE}" name="Asset Component"/>
    <tableColumn id="7" xr3:uid="{BEB45A8E-62C6-498E-B8BB-3FFA381A2858}" name="Asset Sub-Compon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8"/>
  <sheetViews>
    <sheetView workbookViewId="0">
      <selection sqref="A1:A1048576"/>
    </sheetView>
  </sheetViews>
  <sheetFormatPr defaultRowHeight="15" x14ac:dyDescent="0.25"/>
  <cols>
    <col min="1" max="1" width="57.85546875" bestFit="1" customWidth="1"/>
    <col min="2" max="2" width="13.42578125" bestFit="1" customWidth="1"/>
    <col min="3" max="4" width="31.5703125" bestFit="1" customWidth="1"/>
    <col min="5" max="5" width="31.5703125" customWidth="1"/>
    <col min="6" max="6" width="11" bestFit="1" customWidth="1"/>
    <col min="7" max="7" width="61.7109375" bestFit="1" customWidth="1"/>
    <col min="8" max="8" width="20.28515625" bestFit="1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</row>
    <row r="2" spans="1:8" x14ac:dyDescent="0.25">
      <c r="A2" t="s">
        <v>8</v>
      </c>
      <c r="C2" t="s">
        <v>9</v>
      </c>
      <c r="D2" t="s">
        <v>9</v>
      </c>
      <c r="E2">
        <f>IF(C2=D2,1,0)</f>
        <v>1</v>
      </c>
      <c r="F2" t="s">
        <v>10</v>
      </c>
      <c r="G2" s="3" t="s">
        <v>11</v>
      </c>
    </row>
    <row r="3" spans="1:8" x14ac:dyDescent="0.25">
      <c r="A3" t="s">
        <v>12</v>
      </c>
      <c r="C3" t="s">
        <v>13</v>
      </c>
      <c r="D3" t="s">
        <v>13</v>
      </c>
      <c r="E3">
        <f t="shared" ref="E3:E66" si="0">IF(C3=D3,1,0)</f>
        <v>1</v>
      </c>
      <c r="F3" t="s">
        <v>14</v>
      </c>
      <c r="G3" s="3" t="s">
        <v>15</v>
      </c>
    </row>
    <row r="4" spans="1:8" x14ac:dyDescent="0.25">
      <c r="A4" t="s">
        <v>16</v>
      </c>
      <c r="C4" t="s">
        <v>17</v>
      </c>
      <c r="D4" t="s">
        <v>17</v>
      </c>
      <c r="E4">
        <f t="shared" si="0"/>
        <v>1</v>
      </c>
      <c r="F4" t="s">
        <v>18</v>
      </c>
      <c r="G4" s="3" t="s">
        <v>19</v>
      </c>
    </row>
    <row r="5" spans="1:8" x14ac:dyDescent="0.25">
      <c r="A5" t="s">
        <v>20</v>
      </c>
      <c r="C5" t="s">
        <v>21</v>
      </c>
      <c r="D5" t="s">
        <v>21</v>
      </c>
      <c r="E5">
        <f t="shared" si="0"/>
        <v>1</v>
      </c>
      <c r="F5" t="s">
        <v>22</v>
      </c>
      <c r="G5" s="3" t="s">
        <v>23</v>
      </c>
    </row>
    <row r="6" spans="1:8" x14ac:dyDescent="0.25">
      <c r="A6" t="s">
        <v>24</v>
      </c>
      <c r="C6" t="s">
        <v>25</v>
      </c>
      <c r="D6" t="s">
        <v>25</v>
      </c>
      <c r="E6">
        <f t="shared" si="0"/>
        <v>1</v>
      </c>
      <c r="F6" t="s">
        <v>26</v>
      </c>
      <c r="G6" s="3" t="s">
        <v>27</v>
      </c>
    </row>
    <row r="7" spans="1:8" x14ac:dyDescent="0.25">
      <c r="A7" t="s">
        <v>28</v>
      </c>
      <c r="C7" t="s">
        <v>29</v>
      </c>
      <c r="D7" t="s">
        <v>29</v>
      </c>
      <c r="E7">
        <f t="shared" si="0"/>
        <v>1</v>
      </c>
      <c r="F7" t="s">
        <v>30</v>
      </c>
      <c r="G7" s="3" t="s">
        <v>31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>
        <f t="shared" si="0"/>
        <v>1</v>
      </c>
      <c r="F8" t="s">
        <v>35</v>
      </c>
      <c r="G8" s="3" t="s">
        <v>36</v>
      </c>
    </row>
    <row r="9" spans="1:8" x14ac:dyDescent="0.25">
      <c r="A9" t="s">
        <v>37</v>
      </c>
      <c r="C9" t="s">
        <v>38</v>
      </c>
      <c r="D9" t="s">
        <v>38</v>
      </c>
      <c r="E9">
        <f t="shared" si="0"/>
        <v>1</v>
      </c>
      <c r="F9" t="s">
        <v>39</v>
      </c>
      <c r="G9" s="3" t="s">
        <v>37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>
        <f t="shared" si="0"/>
        <v>1</v>
      </c>
      <c r="F10" t="s">
        <v>43</v>
      </c>
      <c r="G10" s="3" t="s">
        <v>44</v>
      </c>
    </row>
    <row r="11" spans="1:8" x14ac:dyDescent="0.25">
      <c r="A11" t="s">
        <v>45</v>
      </c>
      <c r="B11" t="s">
        <v>46</v>
      </c>
      <c r="C11" t="s">
        <v>47</v>
      </c>
      <c r="D11" t="s">
        <v>47</v>
      </c>
      <c r="E11">
        <f t="shared" si="0"/>
        <v>1</v>
      </c>
      <c r="F11" t="s">
        <v>48</v>
      </c>
      <c r="G11" s="3" t="s">
        <v>45</v>
      </c>
    </row>
    <row r="12" spans="1:8" x14ac:dyDescent="0.25">
      <c r="A12" t="s">
        <v>49</v>
      </c>
      <c r="B12" t="s">
        <v>50</v>
      </c>
      <c r="C12" t="s">
        <v>51</v>
      </c>
      <c r="D12" t="s">
        <v>51</v>
      </c>
      <c r="E12">
        <f t="shared" si="0"/>
        <v>1</v>
      </c>
      <c r="F12" t="s">
        <v>52</v>
      </c>
      <c r="G12" s="3" t="s">
        <v>49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>
        <f t="shared" si="0"/>
        <v>1</v>
      </c>
      <c r="F13" t="s">
        <v>56</v>
      </c>
      <c r="G13" s="3" t="s">
        <v>53</v>
      </c>
    </row>
    <row r="14" spans="1:8" x14ac:dyDescent="0.25">
      <c r="A14" t="s">
        <v>57</v>
      </c>
      <c r="B14" t="s">
        <v>58</v>
      </c>
      <c r="C14" t="s">
        <v>59</v>
      </c>
      <c r="D14" t="s">
        <v>59</v>
      </c>
      <c r="E14">
        <f t="shared" si="0"/>
        <v>1</v>
      </c>
      <c r="F14" t="s">
        <v>60</v>
      </c>
      <c r="G14" s="3" t="s">
        <v>61</v>
      </c>
    </row>
    <row r="15" spans="1:8" x14ac:dyDescent="0.25">
      <c r="A15" t="s">
        <v>62</v>
      </c>
      <c r="B15" t="s">
        <v>63</v>
      </c>
      <c r="C15" t="s">
        <v>64</v>
      </c>
      <c r="D15" t="s">
        <v>64</v>
      </c>
      <c r="E15">
        <f t="shared" si="0"/>
        <v>1</v>
      </c>
      <c r="F15" t="s">
        <v>65</v>
      </c>
      <c r="G15" s="3" t="s">
        <v>66</v>
      </c>
    </row>
    <row r="16" spans="1:8" x14ac:dyDescent="0.25">
      <c r="A16" t="s">
        <v>67</v>
      </c>
      <c r="C16" t="s">
        <v>68</v>
      </c>
      <c r="D16" t="s">
        <v>68</v>
      </c>
      <c r="E16">
        <f t="shared" si="0"/>
        <v>1</v>
      </c>
      <c r="F16" t="s">
        <v>69</v>
      </c>
      <c r="G16" s="3" t="s">
        <v>70</v>
      </c>
    </row>
    <row r="17" spans="1:7" x14ac:dyDescent="0.25">
      <c r="A17" t="s">
        <v>71</v>
      </c>
      <c r="B17" t="s">
        <v>72</v>
      </c>
      <c r="C17" t="s">
        <v>73</v>
      </c>
      <c r="D17" t="s">
        <v>73</v>
      </c>
      <c r="E17">
        <f t="shared" si="0"/>
        <v>1</v>
      </c>
      <c r="F17" t="s">
        <v>74</v>
      </c>
      <c r="G17" s="3" t="s">
        <v>75</v>
      </c>
    </row>
    <row r="18" spans="1:7" x14ac:dyDescent="0.25">
      <c r="A18" t="s">
        <v>76</v>
      </c>
      <c r="C18" t="s">
        <v>77</v>
      </c>
      <c r="D18" t="s">
        <v>77</v>
      </c>
      <c r="E18">
        <f t="shared" si="0"/>
        <v>1</v>
      </c>
      <c r="F18" t="s">
        <v>78</v>
      </c>
      <c r="G18" s="3" t="s">
        <v>76</v>
      </c>
    </row>
    <row r="19" spans="1:7" x14ac:dyDescent="0.25">
      <c r="A19" t="s">
        <v>79</v>
      </c>
      <c r="C19" t="s">
        <v>80</v>
      </c>
      <c r="D19" t="s">
        <v>80</v>
      </c>
      <c r="E19">
        <f t="shared" si="0"/>
        <v>1</v>
      </c>
      <c r="F19" t="s">
        <v>81</v>
      </c>
      <c r="G19" s="3" t="s">
        <v>82</v>
      </c>
    </row>
    <row r="20" spans="1:7" x14ac:dyDescent="0.25">
      <c r="A20" t="s">
        <v>83</v>
      </c>
      <c r="C20" t="s">
        <v>84</v>
      </c>
      <c r="D20" t="s">
        <v>84</v>
      </c>
      <c r="E20">
        <f t="shared" si="0"/>
        <v>1</v>
      </c>
      <c r="F20" t="s">
        <v>85</v>
      </c>
      <c r="G20" s="3" t="s">
        <v>86</v>
      </c>
    </row>
    <row r="21" spans="1:7" x14ac:dyDescent="0.25">
      <c r="A21" t="s">
        <v>87</v>
      </c>
      <c r="C21" t="s">
        <v>88</v>
      </c>
      <c r="D21" t="s">
        <v>88</v>
      </c>
      <c r="E21">
        <f t="shared" si="0"/>
        <v>1</v>
      </c>
      <c r="F21" t="s">
        <v>89</v>
      </c>
      <c r="G21" s="3" t="s">
        <v>90</v>
      </c>
    </row>
    <row r="22" spans="1:7" x14ac:dyDescent="0.25">
      <c r="A22" t="s">
        <v>91</v>
      </c>
      <c r="B22" t="s">
        <v>92</v>
      </c>
      <c r="C22" t="s">
        <v>93</v>
      </c>
      <c r="D22" t="s">
        <v>93</v>
      </c>
      <c r="E22">
        <f t="shared" si="0"/>
        <v>1</v>
      </c>
      <c r="F22" t="s">
        <v>94</v>
      </c>
      <c r="G22" s="3" t="s">
        <v>95</v>
      </c>
    </row>
    <row r="23" spans="1:7" x14ac:dyDescent="0.25">
      <c r="A23" t="s">
        <v>96</v>
      </c>
      <c r="B23" t="s">
        <v>97</v>
      </c>
      <c r="C23" t="s">
        <v>98</v>
      </c>
      <c r="D23" t="s">
        <v>98</v>
      </c>
      <c r="E23">
        <f t="shared" si="0"/>
        <v>1</v>
      </c>
      <c r="F23" t="s">
        <v>99</v>
      </c>
      <c r="G23" s="3" t="s">
        <v>100</v>
      </c>
    </row>
    <row r="24" spans="1:7" x14ac:dyDescent="0.25">
      <c r="A24" t="s">
        <v>101</v>
      </c>
      <c r="B24" t="s">
        <v>102</v>
      </c>
      <c r="C24" t="s">
        <v>103</v>
      </c>
      <c r="D24" t="s">
        <v>103</v>
      </c>
      <c r="E24">
        <f t="shared" si="0"/>
        <v>1</v>
      </c>
      <c r="F24" t="s">
        <v>104</v>
      </c>
      <c r="G24" s="3" t="s">
        <v>105</v>
      </c>
    </row>
    <row r="25" spans="1:7" x14ac:dyDescent="0.25">
      <c r="A25" t="s">
        <v>106</v>
      </c>
      <c r="B25" t="s">
        <v>102</v>
      </c>
      <c r="C25" t="s">
        <v>107</v>
      </c>
      <c r="D25" t="s">
        <v>107</v>
      </c>
      <c r="E25">
        <f t="shared" si="0"/>
        <v>1</v>
      </c>
      <c r="F25" t="s">
        <v>108</v>
      </c>
      <c r="G25" s="3" t="s">
        <v>109</v>
      </c>
    </row>
    <row r="26" spans="1:7" x14ac:dyDescent="0.25">
      <c r="A26" t="s">
        <v>110</v>
      </c>
      <c r="B26" t="s">
        <v>102</v>
      </c>
      <c r="C26" t="s">
        <v>111</v>
      </c>
      <c r="D26" t="s">
        <v>111</v>
      </c>
      <c r="E26">
        <f t="shared" si="0"/>
        <v>1</v>
      </c>
      <c r="F26" t="s">
        <v>112</v>
      </c>
      <c r="G26" s="3" t="s">
        <v>113</v>
      </c>
    </row>
    <row r="27" spans="1:7" x14ac:dyDescent="0.25">
      <c r="A27" t="s">
        <v>114</v>
      </c>
      <c r="B27" t="s">
        <v>115</v>
      </c>
      <c r="C27" t="s">
        <v>116</v>
      </c>
      <c r="D27" t="s">
        <v>116</v>
      </c>
      <c r="E27">
        <f t="shared" si="0"/>
        <v>1</v>
      </c>
      <c r="G27" s="3"/>
    </row>
    <row r="28" spans="1:7" x14ac:dyDescent="0.25">
      <c r="A28" t="s">
        <v>117</v>
      </c>
      <c r="B28" t="s">
        <v>115</v>
      </c>
      <c r="C28" t="s">
        <v>118</v>
      </c>
      <c r="D28" t="s">
        <v>118</v>
      </c>
      <c r="E28">
        <f t="shared" si="0"/>
        <v>1</v>
      </c>
      <c r="G28" s="3"/>
    </row>
    <row r="29" spans="1:7" x14ac:dyDescent="0.25">
      <c r="A29" t="s">
        <v>119</v>
      </c>
      <c r="B29" t="s">
        <v>97</v>
      </c>
      <c r="C29" t="s">
        <v>120</v>
      </c>
      <c r="D29" t="s">
        <v>120</v>
      </c>
      <c r="E29">
        <f t="shared" si="0"/>
        <v>1</v>
      </c>
      <c r="F29" t="s">
        <v>121</v>
      </c>
      <c r="G29" s="3" t="s">
        <v>122</v>
      </c>
    </row>
    <row r="30" spans="1:7" x14ac:dyDescent="0.25">
      <c r="A30" t="s">
        <v>123</v>
      </c>
      <c r="B30" t="s">
        <v>97</v>
      </c>
      <c r="C30" t="s">
        <v>124</v>
      </c>
      <c r="D30" t="s">
        <v>124</v>
      </c>
      <c r="E30">
        <f t="shared" si="0"/>
        <v>1</v>
      </c>
      <c r="F30" t="s">
        <v>125</v>
      </c>
      <c r="G30" s="3" t="s">
        <v>126</v>
      </c>
    </row>
    <row r="31" spans="1:7" x14ac:dyDescent="0.25">
      <c r="A31" t="s">
        <v>127</v>
      </c>
      <c r="C31" t="s">
        <v>128</v>
      </c>
      <c r="D31" t="s">
        <v>128</v>
      </c>
      <c r="E31">
        <f t="shared" si="0"/>
        <v>1</v>
      </c>
      <c r="F31" t="s">
        <v>129</v>
      </c>
      <c r="G31" s="3" t="s">
        <v>127</v>
      </c>
    </row>
    <row r="32" spans="1:7" x14ac:dyDescent="0.25">
      <c r="A32" t="s">
        <v>130</v>
      </c>
      <c r="C32" t="s">
        <v>131</v>
      </c>
      <c r="D32" t="s">
        <v>131</v>
      </c>
      <c r="E32">
        <f t="shared" si="0"/>
        <v>1</v>
      </c>
      <c r="F32" t="s">
        <v>132</v>
      </c>
      <c r="G32" s="3" t="s">
        <v>130</v>
      </c>
    </row>
    <row r="33" spans="1:10" x14ac:dyDescent="0.25">
      <c r="A33" t="s">
        <v>133</v>
      </c>
      <c r="C33" t="s">
        <v>134</v>
      </c>
      <c r="D33" t="s">
        <v>134</v>
      </c>
      <c r="E33">
        <f t="shared" si="0"/>
        <v>1</v>
      </c>
      <c r="F33" t="s">
        <v>135</v>
      </c>
      <c r="G33" s="3" t="s">
        <v>133</v>
      </c>
    </row>
    <row r="34" spans="1:10" x14ac:dyDescent="0.25">
      <c r="A34" t="s">
        <v>136</v>
      </c>
      <c r="C34" t="s">
        <v>137</v>
      </c>
      <c r="D34" t="s">
        <v>137</v>
      </c>
      <c r="E34">
        <f t="shared" si="0"/>
        <v>1</v>
      </c>
      <c r="G34" s="3"/>
    </row>
    <row r="35" spans="1:10" x14ac:dyDescent="0.25">
      <c r="A35" t="s">
        <v>138</v>
      </c>
      <c r="C35" t="s">
        <v>139</v>
      </c>
      <c r="D35" t="s">
        <v>139</v>
      </c>
      <c r="E35">
        <f t="shared" si="0"/>
        <v>1</v>
      </c>
      <c r="F35" t="s">
        <v>140</v>
      </c>
      <c r="G35" s="3" t="s">
        <v>141</v>
      </c>
    </row>
    <row r="36" spans="1:10" x14ac:dyDescent="0.25">
      <c r="A36" t="s">
        <v>142</v>
      </c>
      <c r="C36" t="s">
        <v>143</v>
      </c>
      <c r="D36" t="s">
        <v>143</v>
      </c>
      <c r="E36">
        <f t="shared" si="0"/>
        <v>1</v>
      </c>
      <c r="F36" t="s">
        <v>144</v>
      </c>
      <c r="G36" s="3" t="s">
        <v>142</v>
      </c>
    </row>
    <row r="37" spans="1:10" x14ac:dyDescent="0.25">
      <c r="A37" t="s">
        <v>145</v>
      </c>
      <c r="C37" t="s">
        <v>146</v>
      </c>
      <c r="D37" t="s">
        <v>146</v>
      </c>
      <c r="E37">
        <f t="shared" si="0"/>
        <v>1</v>
      </c>
      <c r="F37" t="s">
        <v>147</v>
      </c>
      <c r="G37" s="3" t="s">
        <v>148</v>
      </c>
    </row>
    <row r="38" spans="1:10" x14ac:dyDescent="0.25">
      <c r="A38" t="s">
        <v>149</v>
      </c>
      <c r="C38" t="s">
        <v>150</v>
      </c>
      <c r="D38" t="s">
        <v>150</v>
      </c>
      <c r="E38">
        <f t="shared" si="0"/>
        <v>1</v>
      </c>
      <c r="F38" t="s">
        <v>151</v>
      </c>
      <c r="G38" s="3" t="s">
        <v>152</v>
      </c>
    </row>
    <row r="39" spans="1:10" x14ac:dyDescent="0.25">
      <c r="A39" t="s">
        <v>153</v>
      </c>
      <c r="C39" t="s">
        <v>154</v>
      </c>
      <c r="D39" t="s">
        <v>154</v>
      </c>
      <c r="E39">
        <f t="shared" si="0"/>
        <v>1</v>
      </c>
      <c r="F39" t="s">
        <v>155</v>
      </c>
      <c r="G39" s="3" t="s">
        <v>153</v>
      </c>
    </row>
    <row r="40" spans="1:10" x14ac:dyDescent="0.25">
      <c r="A40" t="s">
        <v>156</v>
      </c>
      <c r="C40" t="s">
        <v>157</v>
      </c>
      <c r="D40" t="s">
        <v>157</v>
      </c>
      <c r="E40">
        <f t="shared" si="0"/>
        <v>1</v>
      </c>
      <c r="F40" t="s">
        <v>158</v>
      </c>
      <c r="G40" s="3" t="s">
        <v>156</v>
      </c>
    </row>
    <row r="41" spans="1:10" x14ac:dyDescent="0.25">
      <c r="A41" t="s">
        <v>159</v>
      </c>
      <c r="C41" t="s">
        <v>160</v>
      </c>
      <c r="D41" t="s">
        <v>160</v>
      </c>
      <c r="E41">
        <f t="shared" si="0"/>
        <v>1</v>
      </c>
      <c r="F41" t="s">
        <v>161</v>
      </c>
      <c r="G41" s="3" t="s">
        <v>159</v>
      </c>
    </row>
    <row r="42" spans="1:10" x14ac:dyDescent="0.25">
      <c r="A42" t="s">
        <v>162</v>
      </c>
      <c r="C42" t="s">
        <v>163</v>
      </c>
      <c r="D42" t="s">
        <v>163</v>
      </c>
      <c r="E42">
        <f t="shared" si="0"/>
        <v>1</v>
      </c>
      <c r="F42" t="s">
        <v>164</v>
      </c>
      <c r="G42" s="3" t="s">
        <v>162</v>
      </c>
    </row>
    <row r="43" spans="1:10" x14ac:dyDescent="0.25">
      <c r="A43" t="s">
        <v>165</v>
      </c>
      <c r="C43" t="s">
        <v>166</v>
      </c>
      <c r="D43" t="s">
        <v>166</v>
      </c>
      <c r="E43">
        <f t="shared" si="0"/>
        <v>1</v>
      </c>
      <c r="F43" t="s">
        <v>167</v>
      </c>
      <c r="G43" s="3" t="s">
        <v>165</v>
      </c>
    </row>
    <row r="44" spans="1:10" x14ac:dyDescent="0.25">
      <c r="A44" t="s">
        <v>168</v>
      </c>
      <c r="C44" t="s">
        <v>169</v>
      </c>
      <c r="D44" t="s">
        <v>169</v>
      </c>
      <c r="E44">
        <f t="shared" si="0"/>
        <v>1</v>
      </c>
      <c r="F44" t="s">
        <v>170</v>
      </c>
      <c r="G44" s="3" t="s">
        <v>168</v>
      </c>
    </row>
    <row r="45" spans="1:10" x14ac:dyDescent="0.25">
      <c r="A45" t="s">
        <v>171</v>
      </c>
      <c r="C45" t="s">
        <v>172</v>
      </c>
      <c r="D45" t="s">
        <v>172</v>
      </c>
      <c r="E45">
        <f t="shared" si="0"/>
        <v>1</v>
      </c>
      <c r="F45" t="s">
        <v>173</v>
      </c>
      <c r="G45" s="3" t="s">
        <v>171</v>
      </c>
    </row>
    <row r="46" spans="1:10" x14ac:dyDescent="0.25">
      <c r="A46" t="s">
        <v>174</v>
      </c>
      <c r="C46" t="s">
        <v>175</v>
      </c>
      <c r="D46" t="s">
        <v>175</v>
      </c>
      <c r="E46">
        <f t="shared" si="0"/>
        <v>1</v>
      </c>
      <c r="G46" s="3"/>
    </row>
    <row r="47" spans="1:10" x14ac:dyDescent="0.25">
      <c r="A47" t="s">
        <v>176</v>
      </c>
      <c r="C47" t="s">
        <v>177</v>
      </c>
      <c r="D47" t="s">
        <v>177</v>
      </c>
      <c r="E47">
        <f t="shared" si="0"/>
        <v>1</v>
      </c>
      <c r="F47" t="s">
        <v>178</v>
      </c>
      <c r="G47" s="3" t="s">
        <v>176</v>
      </c>
    </row>
    <row r="48" spans="1:10" x14ac:dyDescent="0.25">
      <c r="A48" t="s">
        <v>179</v>
      </c>
      <c r="C48" t="s">
        <v>180</v>
      </c>
      <c r="D48" t="s">
        <v>180</v>
      </c>
      <c r="E48">
        <f t="shared" si="0"/>
        <v>1</v>
      </c>
      <c r="F48" t="s">
        <v>181</v>
      </c>
      <c r="G48" s="3" t="s">
        <v>182</v>
      </c>
      <c r="I48" s="2"/>
      <c r="J48" s="2"/>
    </row>
    <row r="49" spans="1:7" x14ac:dyDescent="0.25">
      <c r="A49" t="s">
        <v>183</v>
      </c>
      <c r="C49" t="s">
        <v>184</v>
      </c>
      <c r="D49" t="s">
        <v>184</v>
      </c>
      <c r="E49">
        <f t="shared" si="0"/>
        <v>1</v>
      </c>
      <c r="F49" t="s">
        <v>185</v>
      </c>
      <c r="G49" s="3" t="s">
        <v>186</v>
      </c>
    </row>
    <row r="50" spans="1:7" x14ac:dyDescent="0.25">
      <c r="A50" t="s">
        <v>187</v>
      </c>
      <c r="C50" t="s">
        <v>188</v>
      </c>
      <c r="D50" t="s">
        <v>188</v>
      </c>
      <c r="E50">
        <f t="shared" si="0"/>
        <v>1</v>
      </c>
      <c r="F50" t="s">
        <v>189</v>
      </c>
      <c r="G50" s="3" t="s">
        <v>187</v>
      </c>
    </row>
    <row r="51" spans="1:7" x14ac:dyDescent="0.25">
      <c r="A51" t="s">
        <v>190</v>
      </c>
      <c r="C51" t="s">
        <v>191</v>
      </c>
      <c r="D51" t="s">
        <v>191</v>
      </c>
      <c r="E51">
        <f t="shared" si="0"/>
        <v>1</v>
      </c>
      <c r="F51" t="s">
        <v>192</v>
      </c>
      <c r="G51" s="3" t="s">
        <v>190</v>
      </c>
    </row>
    <row r="52" spans="1:7" x14ac:dyDescent="0.25">
      <c r="A52" t="s">
        <v>193</v>
      </c>
      <c r="C52" t="s">
        <v>194</v>
      </c>
      <c r="D52" t="s">
        <v>194</v>
      </c>
      <c r="E52">
        <f t="shared" si="0"/>
        <v>1</v>
      </c>
      <c r="F52">
        <v>11326</v>
      </c>
      <c r="G52" s="3" t="s">
        <v>193</v>
      </c>
    </row>
    <row r="53" spans="1:7" x14ac:dyDescent="0.25">
      <c r="A53" s="6" t="s">
        <v>195</v>
      </c>
      <c r="B53" s="6" t="s">
        <v>196</v>
      </c>
      <c r="C53" s="6" t="s">
        <v>197</v>
      </c>
      <c r="D53" s="6" t="s">
        <v>198</v>
      </c>
      <c r="E53" s="6">
        <f t="shared" si="0"/>
        <v>0</v>
      </c>
      <c r="F53">
        <v>11326</v>
      </c>
      <c r="G53" s="3"/>
    </row>
    <row r="54" spans="1:7" x14ac:dyDescent="0.25">
      <c r="A54" s="6" t="s">
        <v>199</v>
      </c>
      <c r="B54" s="6" t="s">
        <v>196</v>
      </c>
      <c r="C54" s="6" t="s">
        <v>200</v>
      </c>
      <c r="D54" s="6" t="s">
        <v>201</v>
      </c>
      <c r="E54" s="6">
        <f t="shared" si="0"/>
        <v>0</v>
      </c>
      <c r="F54">
        <v>11326</v>
      </c>
      <c r="G54" s="3"/>
    </row>
    <row r="55" spans="1:7" x14ac:dyDescent="0.25">
      <c r="A55" s="6" t="s">
        <v>202</v>
      </c>
      <c r="B55" s="6" t="s">
        <v>196</v>
      </c>
      <c r="C55" s="6" t="s">
        <v>203</v>
      </c>
      <c r="D55" s="6" t="s">
        <v>204</v>
      </c>
      <c r="E55" s="6">
        <f t="shared" si="0"/>
        <v>0</v>
      </c>
      <c r="F55">
        <v>11326</v>
      </c>
      <c r="G55" s="3"/>
    </row>
    <row r="56" spans="1:7" x14ac:dyDescent="0.25">
      <c r="A56" s="6" t="s">
        <v>205</v>
      </c>
      <c r="B56" s="6" t="s">
        <v>196</v>
      </c>
      <c r="C56" s="6" t="s">
        <v>206</v>
      </c>
      <c r="D56" s="6" t="s">
        <v>207</v>
      </c>
      <c r="E56" s="6">
        <f t="shared" si="0"/>
        <v>0</v>
      </c>
      <c r="F56">
        <v>11326</v>
      </c>
      <c r="G56" s="3"/>
    </row>
    <row r="57" spans="1:7" x14ac:dyDescent="0.25">
      <c r="A57" s="6" t="s">
        <v>208</v>
      </c>
      <c r="B57" s="6" t="s">
        <v>196</v>
      </c>
      <c r="C57" s="6" t="s">
        <v>209</v>
      </c>
      <c r="D57" s="6" t="s">
        <v>210</v>
      </c>
      <c r="E57" s="6">
        <f t="shared" si="0"/>
        <v>0</v>
      </c>
      <c r="F57">
        <v>11326</v>
      </c>
      <c r="G57" s="3"/>
    </row>
    <row r="58" spans="1:7" x14ac:dyDescent="0.25">
      <c r="A58" s="6" t="s">
        <v>211</v>
      </c>
      <c r="B58" s="6" t="s">
        <v>196</v>
      </c>
      <c r="C58" s="6" t="s">
        <v>212</v>
      </c>
      <c r="D58" s="6" t="s">
        <v>213</v>
      </c>
      <c r="E58" s="6">
        <f t="shared" si="0"/>
        <v>0</v>
      </c>
      <c r="F58">
        <v>11326</v>
      </c>
      <c r="G58" s="3"/>
    </row>
    <row r="59" spans="1:7" x14ac:dyDescent="0.25">
      <c r="A59" s="6" t="s">
        <v>214</v>
      </c>
      <c r="B59" s="6" t="s">
        <v>196</v>
      </c>
      <c r="C59" s="6" t="s">
        <v>215</v>
      </c>
      <c r="D59" s="6" t="s">
        <v>216</v>
      </c>
      <c r="E59" s="6">
        <f t="shared" si="0"/>
        <v>0</v>
      </c>
      <c r="F59">
        <v>11326</v>
      </c>
      <c r="G59" s="3"/>
    </row>
    <row r="60" spans="1:7" x14ac:dyDescent="0.25">
      <c r="A60" s="6" t="s">
        <v>217</v>
      </c>
      <c r="B60" s="6" t="s">
        <v>196</v>
      </c>
      <c r="C60" s="6" t="s">
        <v>218</v>
      </c>
      <c r="D60" s="6" t="s">
        <v>219</v>
      </c>
      <c r="E60" s="6">
        <f t="shared" si="0"/>
        <v>0</v>
      </c>
      <c r="F60">
        <v>11326</v>
      </c>
      <c r="G60" s="3"/>
    </row>
    <row r="61" spans="1:7" x14ac:dyDescent="0.25">
      <c r="A61" s="6" t="s">
        <v>220</v>
      </c>
      <c r="B61" s="6" t="s">
        <v>196</v>
      </c>
      <c r="C61" s="6" t="s">
        <v>221</v>
      </c>
      <c r="D61" s="6" t="s">
        <v>222</v>
      </c>
      <c r="E61" s="6">
        <f t="shared" si="0"/>
        <v>0</v>
      </c>
      <c r="F61">
        <v>11326</v>
      </c>
      <c r="G61" s="3"/>
    </row>
    <row r="62" spans="1:7" x14ac:dyDescent="0.25">
      <c r="A62" s="6" t="s">
        <v>223</v>
      </c>
      <c r="B62" s="6" t="s">
        <v>196</v>
      </c>
      <c r="C62" s="6" t="s">
        <v>224</v>
      </c>
      <c r="D62" s="6" t="s">
        <v>225</v>
      </c>
      <c r="E62" s="6">
        <f t="shared" si="0"/>
        <v>0</v>
      </c>
      <c r="F62">
        <v>11326</v>
      </c>
      <c r="G62" s="3"/>
    </row>
    <row r="63" spans="1:7" x14ac:dyDescent="0.25">
      <c r="A63" s="6" t="s">
        <v>226</v>
      </c>
      <c r="B63" s="6" t="s">
        <v>196</v>
      </c>
      <c r="C63" s="6" t="s">
        <v>227</v>
      </c>
      <c r="D63" s="6" t="s">
        <v>228</v>
      </c>
      <c r="E63" s="6">
        <f t="shared" si="0"/>
        <v>0</v>
      </c>
      <c r="F63">
        <v>11326</v>
      </c>
      <c r="G63" s="3"/>
    </row>
    <row r="64" spans="1:7" x14ac:dyDescent="0.25">
      <c r="A64" s="6" t="s">
        <v>229</v>
      </c>
      <c r="B64" s="6" t="s">
        <v>196</v>
      </c>
      <c r="C64" s="6" t="s">
        <v>230</v>
      </c>
      <c r="D64" s="6" t="s">
        <v>231</v>
      </c>
      <c r="E64" s="6">
        <f t="shared" si="0"/>
        <v>0</v>
      </c>
      <c r="F64">
        <v>11326</v>
      </c>
      <c r="G64" s="3"/>
    </row>
    <row r="65" spans="1:7" x14ac:dyDescent="0.25">
      <c r="A65" s="6" t="s">
        <v>232</v>
      </c>
      <c r="B65" s="6" t="s">
        <v>196</v>
      </c>
      <c r="C65" s="6" t="s">
        <v>233</v>
      </c>
      <c r="D65" s="6" t="s">
        <v>234</v>
      </c>
      <c r="E65" s="6">
        <f t="shared" si="0"/>
        <v>0</v>
      </c>
      <c r="F65">
        <v>11326</v>
      </c>
      <c r="G65" s="3"/>
    </row>
    <row r="66" spans="1:7" x14ac:dyDescent="0.25">
      <c r="A66" t="s">
        <v>235</v>
      </c>
      <c r="B66" t="s">
        <v>196</v>
      </c>
      <c r="C66" t="s">
        <v>236</v>
      </c>
      <c r="D66" t="s">
        <v>236</v>
      </c>
      <c r="E66">
        <f t="shared" si="0"/>
        <v>1</v>
      </c>
      <c r="F66" t="s">
        <v>237</v>
      </c>
      <c r="G66" s="3" t="s">
        <v>238</v>
      </c>
    </row>
    <row r="67" spans="1:7" x14ac:dyDescent="0.25">
      <c r="A67" s="6" t="s">
        <v>239</v>
      </c>
      <c r="B67" s="6" t="s">
        <v>196</v>
      </c>
      <c r="C67" s="6" t="s">
        <v>240</v>
      </c>
      <c r="D67" s="6" t="s">
        <v>241</v>
      </c>
      <c r="E67" s="6">
        <f t="shared" ref="E67:E130" si="1">IF(C67=D67,1,0)</f>
        <v>0</v>
      </c>
      <c r="F67" t="s">
        <v>242</v>
      </c>
      <c r="G67" s="3"/>
    </row>
    <row r="68" spans="1:7" x14ac:dyDescent="0.25">
      <c r="A68" s="6" t="s">
        <v>243</v>
      </c>
      <c r="B68" s="6" t="s">
        <v>196</v>
      </c>
      <c r="C68" s="6" t="s">
        <v>244</v>
      </c>
      <c r="D68" s="6" t="s">
        <v>245</v>
      </c>
      <c r="E68" s="6">
        <f t="shared" si="1"/>
        <v>0</v>
      </c>
      <c r="F68" t="s">
        <v>246</v>
      </c>
      <c r="G68" s="3"/>
    </row>
    <row r="69" spans="1:7" x14ac:dyDescent="0.25">
      <c r="A69" s="6" t="s">
        <v>247</v>
      </c>
      <c r="B69" s="6" t="s">
        <v>196</v>
      </c>
      <c r="C69" s="6" t="s">
        <v>248</v>
      </c>
      <c r="D69" s="6" t="s">
        <v>249</v>
      </c>
      <c r="E69" s="6">
        <f t="shared" si="1"/>
        <v>0</v>
      </c>
      <c r="F69" t="s">
        <v>250</v>
      </c>
      <c r="G69" s="3"/>
    </row>
    <row r="70" spans="1:7" x14ac:dyDescent="0.25">
      <c r="A70" t="s">
        <v>251</v>
      </c>
      <c r="C70" t="s">
        <v>252</v>
      </c>
      <c r="D70" t="s">
        <v>252</v>
      </c>
      <c r="E70">
        <f t="shared" si="1"/>
        <v>1</v>
      </c>
      <c r="F70" t="s">
        <v>253</v>
      </c>
      <c r="G70" s="3" t="s">
        <v>254</v>
      </c>
    </row>
    <row r="71" spans="1:7" x14ac:dyDescent="0.25">
      <c r="A71" t="s">
        <v>255</v>
      </c>
      <c r="C71" t="s">
        <v>256</v>
      </c>
      <c r="D71" t="s">
        <v>256</v>
      </c>
      <c r="E71">
        <f t="shared" si="1"/>
        <v>1</v>
      </c>
      <c r="F71" t="s">
        <v>257</v>
      </c>
      <c r="G71" s="3" t="s">
        <v>258</v>
      </c>
    </row>
    <row r="72" spans="1:7" x14ac:dyDescent="0.25">
      <c r="A72" t="s">
        <v>259</v>
      </c>
      <c r="C72" t="s">
        <v>260</v>
      </c>
      <c r="D72" t="s">
        <v>260</v>
      </c>
      <c r="E72">
        <f t="shared" si="1"/>
        <v>1</v>
      </c>
      <c r="F72" t="s">
        <v>261</v>
      </c>
      <c r="G72" s="3" t="s">
        <v>262</v>
      </c>
    </row>
    <row r="73" spans="1:7" x14ac:dyDescent="0.25">
      <c r="A73" t="s">
        <v>263</v>
      </c>
      <c r="C73" t="s">
        <v>264</v>
      </c>
      <c r="D73" t="s">
        <v>264</v>
      </c>
      <c r="E73">
        <f t="shared" si="1"/>
        <v>1</v>
      </c>
      <c r="F73" t="s">
        <v>265</v>
      </c>
      <c r="G73" s="3" t="s">
        <v>266</v>
      </c>
    </row>
    <row r="74" spans="1:7" x14ac:dyDescent="0.25">
      <c r="A74" t="s">
        <v>267</v>
      </c>
      <c r="C74" t="s">
        <v>268</v>
      </c>
      <c r="D74" t="s">
        <v>268</v>
      </c>
      <c r="E74">
        <f t="shared" si="1"/>
        <v>1</v>
      </c>
      <c r="F74" t="s">
        <v>269</v>
      </c>
      <c r="G74" s="3" t="s">
        <v>270</v>
      </c>
    </row>
    <row r="75" spans="1:7" x14ac:dyDescent="0.25">
      <c r="A75" t="s">
        <v>271</v>
      </c>
      <c r="B75" t="s">
        <v>272</v>
      </c>
      <c r="C75" t="s">
        <v>273</v>
      </c>
      <c r="D75" t="s">
        <v>273</v>
      </c>
      <c r="E75">
        <f t="shared" si="1"/>
        <v>1</v>
      </c>
      <c r="F75" t="s">
        <v>274</v>
      </c>
      <c r="G75" s="3" t="s">
        <v>275</v>
      </c>
    </row>
    <row r="76" spans="1:7" x14ac:dyDescent="0.25">
      <c r="A76" t="s">
        <v>276</v>
      </c>
      <c r="B76" t="s">
        <v>277</v>
      </c>
      <c r="C76" t="s">
        <v>278</v>
      </c>
      <c r="D76" t="s">
        <v>278</v>
      </c>
      <c r="E76">
        <f t="shared" si="1"/>
        <v>1</v>
      </c>
      <c r="F76" t="s">
        <v>279</v>
      </c>
      <c r="G76" s="3" t="s">
        <v>280</v>
      </c>
    </row>
    <row r="77" spans="1:7" x14ac:dyDescent="0.25">
      <c r="A77" t="s">
        <v>281</v>
      </c>
      <c r="B77" t="s">
        <v>277</v>
      </c>
      <c r="C77" t="s">
        <v>282</v>
      </c>
      <c r="D77" t="s">
        <v>282</v>
      </c>
      <c r="E77">
        <f t="shared" si="1"/>
        <v>1</v>
      </c>
      <c r="F77" t="s">
        <v>283</v>
      </c>
      <c r="G77" s="3" t="s">
        <v>284</v>
      </c>
    </row>
    <row r="78" spans="1:7" x14ac:dyDescent="0.25">
      <c r="A78" t="s">
        <v>285</v>
      </c>
      <c r="B78" t="s">
        <v>272</v>
      </c>
      <c r="C78" t="s">
        <v>286</v>
      </c>
      <c r="D78" t="s">
        <v>286</v>
      </c>
      <c r="E78">
        <f t="shared" si="1"/>
        <v>1</v>
      </c>
      <c r="F78" t="s">
        <v>287</v>
      </c>
      <c r="G78" s="3" t="s">
        <v>288</v>
      </c>
    </row>
    <row r="79" spans="1:7" x14ac:dyDescent="0.25">
      <c r="A79" t="s">
        <v>289</v>
      </c>
      <c r="B79" t="s">
        <v>277</v>
      </c>
      <c r="C79" t="s">
        <v>290</v>
      </c>
      <c r="D79" t="s">
        <v>290</v>
      </c>
      <c r="E79">
        <f t="shared" si="1"/>
        <v>1</v>
      </c>
      <c r="F79" t="s">
        <v>291</v>
      </c>
      <c r="G79" s="3" t="s">
        <v>292</v>
      </c>
    </row>
    <row r="80" spans="1:7" x14ac:dyDescent="0.25">
      <c r="A80" t="s">
        <v>293</v>
      </c>
      <c r="B80" t="s">
        <v>277</v>
      </c>
      <c r="C80" t="s">
        <v>294</v>
      </c>
      <c r="D80" t="s">
        <v>294</v>
      </c>
      <c r="E80">
        <f t="shared" si="1"/>
        <v>1</v>
      </c>
      <c r="F80" t="s">
        <v>295</v>
      </c>
      <c r="G80" s="3" t="s">
        <v>296</v>
      </c>
    </row>
    <row r="81" spans="1:30" x14ac:dyDescent="0.25">
      <c r="A81" t="s">
        <v>297</v>
      </c>
      <c r="B81" t="s">
        <v>277</v>
      </c>
      <c r="C81" t="s">
        <v>298</v>
      </c>
      <c r="D81" t="s">
        <v>298</v>
      </c>
      <c r="E81">
        <f t="shared" si="1"/>
        <v>1</v>
      </c>
      <c r="F81" t="s">
        <v>299</v>
      </c>
      <c r="G81" s="3" t="s">
        <v>300</v>
      </c>
    </row>
    <row r="82" spans="1:30" x14ac:dyDescent="0.25">
      <c r="A82" t="s">
        <v>301</v>
      </c>
      <c r="B82" t="s">
        <v>277</v>
      </c>
      <c r="C82" t="s">
        <v>302</v>
      </c>
      <c r="D82" t="s">
        <v>302</v>
      </c>
      <c r="E82">
        <f t="shared" si="1"/>
        <v>1</v>
      </c>
      <c r="F82" t="s">
        <v>303</v>
      </c>
      <c r="G82" s="3" t="s">
        <v>304</v>
      </c>
    </row>
    <row r="83" spans="1:30" x14ac:dyDescent="0.25">
      <c r="A83" t="s">
        <v>305</v>
      </c>
      <c r="B83" t="s">
        <v>277</v>
      </c>
      <c r="C83" t="s">
        <v>306</v>
      </c>
      <c r="D83" t="s">
        <v>306</v>
      </c>
      <c r="E83">
        <f t="shared" si="1"/>
        <v>1</v>
      </c>
      <c r="F83" t="s">
        <v>307</v>
      </c>
      <c r="G83" s="3" t="s">
        <v>308</v>
      </c>
    </row>
    <row r="84" spans="1:30" x14ac:dyDescent="0.25">
      <c r="A84" t="s">
        <v>309</v>
      </c>
      <c r="B84" t="s">
        <v>277</v>
      </c>
      <c r="C84" t="s">
        <v>310</v>
      </c>
      <c r="D84" t="s">
        <v>310</v>
      </c>
      <c r="E84">
        <f t="shared" si="1"/>
        <v>1</v>
      </c>
      <c r="F84" t="s">
        <v>311</v>
      </c>
      <c r="G84" s="3" t="s">
        <v>312</v>
      </c>
    </row>
    <row r="85" spans="1:30" x14ac:dyDescent="0.25">
      <c r="A85" t="s">
        <v>313</v>
      </c>
      <c r="B85" t="s">
        <v>277</v>
      </c>
      <c r="C85" t="s">
        <v>314</v>
      </c>
      <c r="D85" t="s">
        <v>314</v>
      </c>
      <c r="E85">
        <f t="shared" si="1"/>
        <v>1</v>
      </c>
      <c r="F85" t="s">
        <v>315</v>
      </c>
      <c r="G85" s="3" t="s">
        <v>316</v>
      </c>
    </row>
    <row r="86" spans="1:30" x14ac:dyDescent="0.25">
      <c r="A86" t="s">
        <v>317</v>
      </c>
      <c r="B86" t="s">
        <v>277</v>
      </c>
      <c r="C86" t="s">
        <v>318</v>
      </c>
      <c r="D86" t="s">
        <v>318</v>
      </c>
      <c r="E86">
        <f t="shared" si="1"/>
        <v>1</v>
      </c>
      <c r="F86" t="s">
        <v>319</v>
      </c>
      <c r="G86" s="3" t="s">
        <v>320</v>
      </c>
    </row>
    <row r="87" spans="1:30" x14ac:dyDescent="0.25">
      <c r="A87" t="s">
        <v>321</v>
      </c>
      <c r="B87" t="s">
        <v>97</v>
      </c>
      <c r="C87" t="s">
        <v>322</v>
      </c>
      <c r="D87" t="s">
        <v>322</v>
      </c>
      <c r="E87">
        <f t="shared" si="1"/>
        <v>1</v>
      </c>
      <c r="F87" t="s">
        <v>323</v>
      </c>
      <c r="G87" s="3" t="s">
        <v>324</v>
      </c>
    </row>
    <row r="88" spans="1:30" x14ac:dyDescent="0.25">
      <c r="A88" t="s">
        <v>325</v>
      </c>
      <c r="B88" t="s">
        <v>102</v>
      </c>
      <c r="C88" t="s">
        <v>326</v>
      </c>
      <c r="D88" t="s">
        <v>326</v>
      </c>
      <c r="E88">
        <f t="shared" si="1"/>
        <v>1</v>
      </c>
      <c r="F88" t="s">
        <v>327</v>
      </c>
      <c r="G88" s="3" t="s">
        <v>328</v>
      </c>
    </row>
    <row r="89" spans="1:30" x14ac:dyDescent="0.25">
      <c r="A89" t="s">
        <v>329</v>
      </c>
      <c r="B89" t="s">
        <v>330</v>
      </c>
      <c r="C89" t="s">
        <v>331</v>
      </c>
      <c r="D89" t="s">
        <v>331</v>
      </c>
      <c r="E89">
        <f t="shared" si="1"/>
        <v>1</v>
      </c>
      <c r="F89" t="s">
        <v>332</v>
      </c>
      <c r="G89" s="3" t="s">
        <v>333</v>
      </c>
    </row>
    <row r="90" spans="1:30" x14ac:dyDescent="0.25">
      <c r="A90" t="s">
        <v>334</v>
      </c>
      <c r="B90" t="s">
        <v>335</v>
      </c>
      <c r="C90" t="s">
        <v>336</v>
      </c>
      <c r="D90" t="s">
        <v>336</v>
      </c>
      <c r="E90">
        <f t="shared" si="1"/>
        <v>1</v>
      </c>
      <c r="F90" t="s">
        <v>337</v>
      </c>
      <c r="G90" s="3" t="s">
        <v>338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5">
      <c r="A91" t="s">
        <v>339</v>
      </c>
      <c r="B91" t="s">
        <v>335</v>
      </c>
      <c r="C91" t="s">
        <v>340</v>
      </c>
      <c r="D91" t="s">
        <v>340</v>
      </c>
      <c r="E91">
        <f t="shared" si="1"/>
        <v>1</v>
      </c>
      <c r="F91" t="s">
        <v>341</v>
      </c>
      <c r="G91" s="3" t="s">
        <v>342</v>
      </c>
    </row>
    <row r="92" spans="1:30" x14ac:dyDescent="0.25">
      <c r="A92" t="s">
        <v>343</v>
      </c>
      <c r="B92" t="s">
        <v>344</v>
      </c>
      <c r="C92" t="s">
        <v>345</v>
      </c>
      <c r="D92" t="s">
        <v>345</v>
      </c>
      <c r="E92">
        <f t="shared" si="1"/>
        <v>1</v>
      </c>
      <c r="F92" t="s">
        <v>346</v>
      </c>
      <c r="G92" s="3" t="s">
        <v>347</v>
      </c>
    </row>
    <row r="93" spans="1:30" x14ac:dyDescent="0.25">
      <c r="A93" t="s">
        <v>348</v>
      </c>
      <c r="B93" t="s">
        <v>349</v>
      </c>
      <c r="C93" t="s">
        <v>350</v>
      </c>
      <c r="D93" t="s">
        <v>350</v>
      </c>
      <c r="E93">
        <f t="shared" si="1"/>
        <v>1</v>
      </c>
      <c r="F93" t="s">
        <v>351</v>
      </c>
      <c r="G93" s="3" t="s">
        <v>352</v>
      </c>
    </row>
    <row r="94" spans="1:30" x14ac:dyDescent="0.25">
      <c r="A94" t="s">
        <v>353</v>
      </c>
      <c r="B94" t="s">
        <v>354</v>
      </c>
      <c r="C94" t="s">
        <v>355</v>
      </c>
      <c r="D94" t="s">
        <v>355</v>
      </c>
      <c r="E94">
        <f t="shared" si="1"/>
        <v>1</v>
      </c>
      <c r="F94" t="s">
        <v>356</v>
      </c>
      <c r="G94" s="3" t="s">
        <v>357</v>
      </c>
    </row>
    <row r="95" spans="1:30" x14ac:dyDescent="0.25">
      <c r="A95" t="s">
        <v>358</v>
      </c>
      <c r="B95" t="s">
        <v>354</v>
      </c>
      <c r="C95" t="s">
        <v>359</v>
      </c>
      <c r="D95" t="s">
        <v>359</v>
      </c>
      <c r="E95">
        <f t="shared" si="1"/>
        <v>1</v>
      </c>
      <c r="F95" t="s">
        <v>360</v>
      </c>
      <c r="G95" s="3" t="s">
        <v>361</v>
      </c>
    </row>
    <row r="96" spans="1:30" x14ac:dyDescent="0.25">
      <c r="A96" t="s">
        <v>362</v>
      </c>
      <c r="B96" t="s">
        <v>363</v>
      </c>
      <c r="C96" t="s">
        <v>364</v>
      </c>
      <c r="D96" t="s">
        <v>364</v>
      </c>
      <c r="E96">
        <f t="shared" si="1"/>
        <v>1</v>
      </c>
      <c r="F96" t="s">
        <v>365</v>
      </c>
      <c r="G96" s="3" t="s">
        <v>366</v>
      </c>
    </row>
    <row r="97" spans="1:7" x14ac:dyDescent="0.25">
      <c r="A97" t="s">
        <v>367</v>
      </c>
      <c r="B97" t="s">
        <v>363</v>
      </c>
      <c r="C97" t="s">
        <v>368</v>
      </c>
      <c r="D97" t="s">
        <v>368</v>
      </c>
      <c r="E97">
        <f t="shared" si="1"/>
        <v>1</v>
      </c>
      <c r="F97" t="s">
        <v>369</v>
      </c>
      <c r="G97" s="3" t="s">
        <v>370</v>
      </c>
    </row>
    <row r="98" spans="1:7" x14ac:dyDescent="0.25">
      <c r="A98" t="s">
        <v>371</v>
      </c>
      <c r="B98" t="s">
        <v>41</v>
      </c>
      <c r="C98" t="s">
        <v>372</v>
      </c>
      <c r="D98" t="s">
        <v>372</v>
      </c>
      <c r="E98">
        <f t="shared" si="1"/>
        <v>1</v>
      </c>
      <c r="F98" t="s">
        <v>373</v>
      </c>
      <c r="G98" s="3" t="s">
        <v>374</v>
      </c>
    </row>
    <row r="99" spans="1:7" x14ac:dyDescent="0.25">
      <c r="A99" t="s">
        <v>375</v>
      </c>
      <c r="C99" t="s">
        <v>376</v>
      </c>
      <c r="D99" t="s">
        <v>376</v>
      </c>
      <c r="E99">
        <f t="shared" si="1"/>
        <v>1</v>
      </c>
      <c r="F99" t="s">
        <v>377</v>
      </c>
      <c r="G99" s="3" t="s">
        <v>378</v>
      </c>
    </row>
    <row r="100" spans="1:7" x14ac:dyDescent="0.25">
      <c r="A100" t="s">
        <v>379</v>
      </c>
      <c r="B100" t="s">
        <v>97</v>
      </c>
      <c r="C100" t="s">
        <v>380</v>
      </c>
      <c r="D100" t="s">
        <v>380</v>
      </c>
      <c r="E100">
        <f t="shared" si="1"/>
        <v>1</v>
      </c>
      <c r="F100" t="s">
        <v>381</v>
      </c>
      <c r="G100" s="3" t="s">
        <v>382</v>
      </c>
    </row>
    <row r="101" spans="1:7" x14ac:dyDescent="0.25">
      <c r="A101" t="s">
        <v>383</v>
      </c>
      <c r="B101" t="s">
        <v>97</v>
      </c>
      <c r="C101" t="s">
        <v>384</v>
      </c>
      <c r="D101" t="s">
        <v>384</v>
      </c>
      <c r="E101">
        <f t="shared" si="1"/>
        <v>1</v>
      </c>
      <c r="F101" t="s">
        <v>385</v>
      </c>
      <c r="G101" s="3" t="s">
        <v>386</v>
      </c>
    </row>
    <row r="102" spans="1:7" x14ac:dyDescent="0.25">
      <c r="A102" t="s">
        <v>387</v>
      </c>
      <c r="B102" t="s">
        <v>97</v>
      </c>
      <c r="C102" t="s">
        <v>388</v>
      </c>
      <c r="D102" t="s">
        <v>388</v>
      </c>
      <c r="E102">
        <f t="shared" si="1"/>
        <v>1</v>
      </c>
      <c r="F102" t="s">
        <v>389</v>
      </c>
      <c r="G102" s="3" t="s">
        <v>390</v>
      </c>
    </row>
    <row r="103" spans="1:7" x14ac:dyDescent="0.25">
      <c r="A103" t="s">
        <v>391</v>
      </c>
      <c r="B103" t="s">
        <v>392</v>
      </c>
      <c r="C103" t="s">
        <v>393</v>
      </c>
      <c r="D103" t="s">
        <v>393</v>
      </c>
      <c r="E103">
        <f t="shared" si="1"/>
        <v>1</v>
      </c>
      <c r="F103" t="s">
        <v>394</v>
      </c>
      <c r="G103" s="3" t="s">
        <v>395</v>
      </c>
    </row>
    <row r="104" spans="1:7" x14ac:dyDescent="0.25">
      <c r="A104" t="s">
        <v>396</v>
      </c>
      <c r="B104" t="s">
        <v>392</v>
      </c>
      <c r="C104" t="s">
        <v>397</v>
      </c>
      <c r="D104" t="s">
        <v>397</v>
      </c>
      <c r="E104">
        <f t="shared" si="1"/>
        <v>1</v>
      </c>
      <c r="F104" t="s">
        <v>398</v>
      </c>
      <c r="G104" s="3" t="s">
        <v>399</v>
      </c>
    </row>
    <row r="105" spans="1:7" x14ac:dyDescent="0.25">
      <c r="A105" t="s">
        <v>400</v>
      </c>
      <c r="B105" t="s">
        <v>354</v>
      </c>
      <c r="C105" t="s">
        <v>401</v>
      </c>
      <c r="D105" t="s">
        <v>401</v>
      </c>
      <c r="E105">
        <f t="shared" si="1"/>
        <v>1</v>
      </c>
      <c r="F105" t="s">
        <v>402</v>
      </c>
      <c r="G105" s="3" t="s">
        <v>403</v>
      </c>
    </row>
    <row r="106" spans="1:7" x14ac:dyDescent="0.25">
      <c r="A106" t="s">
        <v>404</v>
      </c>
      <c r="B106" t="s">
        <v>97</v>
      </c>
      <c r="C106" t="s">
        <v>405</v>
      </c>
      <c r="D106" t="s">
        <v>405</v>
      </c>
      <c r="E106">
        <f t="shared" si="1"/>
        <v>1</v>
      </c>
      <c r="F106" t="s">
        <v>406</v>
      </c>
      <c r="G106" s="3" t="s">
        <v>407</v>
      </c>
    </row>
    <row r="107" spans="1:7" x14ac:dyDescent="0.25">
      <c r="A107" t="s">
        <v>408</v>
      </c>
      <c r="C107" t="s">
        <v>409</v>
      </c>
      <c r="D107" t="s">
        <v>409</v>
      </c>
      <c r="E107">
        <f t="shared" si="1"/>
        <v>1</v>
      </c>
      <c r="F107" t="s">
        <v>410</v>
      </c>
      <c r="G107" s="3" t="s">
        <v>411</v>
      </c>
    </row>
    <row r="108" spans="1:7" x14ac:dyDescent="0.25">
      <c r="A108" t="s">
        <v>412</v>
      </c>
      <c r="C108" t="s">
        <v>413</v>
      </c>
      <c r="D108" t="s">
        <v>413</v>
      </c>
      <c r="E108">
        <f t="shared" si="1"/>
        <v>1</v>
      </c>
      <c r="F108" t="s">
        <v>414</v>
      </c>
      <c r="G108" s="3" t="s">
        <v>415</v>
      </c>
    </row>
    <row r="109" spans="1:7" x14ac:dyDescent="0.25">
      <c r="A109" t="s">
        <v>416</v>
      </c>
      <c r="C109" t="s">
        <v>417</v>
      </c>
      <c r="D109" t="s">
        <v>417</v>
      </c>
      <c r="E109">
        <f t="shared" si="1"/>
        <v>1</v>
      </c>
      <c r="F109" t="s">
        <v>418</v>
      </c>
      <c r="G109" s="3" t="s">
        <v>419</v>
      </c>
    </row>
    <row r="110" spans="1:7" x14ac:dyDescent="0.25">
      <c r="A110" t="s">
        <v>420</v>
      </c>
      <c r="C110" t="s">
        <v>421</v>
      </c>
      <c r="D110" t="s">
        <v>421</v>
      </c>
      <c r="E110">
        <f t="shared" si="1"/>
        <v>1</v>
      </c>
      <c r="F110" t="s">
        <v>422</v>
      </c>
      <c r="G110" s="3" t="s">
        <v>423</v>
      </c>
    </row>
    <row r="111" spans="1:7" x14ac:dyDescent="0.25">
      <c r="A111" t="s">
        <v>424</v>
      </c>
      <c r="C111" t="s">
        <v>425</v>
      </c>
      <c r="D111" t="s">
        <v>425</v>
      </c>
      <c r="E111">
        <f t="shared" si="1"/>
        <v>1</v>
      </c>
      <c r="F111" t="s">
        <v>426</v>
      </c>
      <c r="G111" s="3" t="s">
        <v>427</v>
      </c>
    </row>
    <row r="112" spans="1:7" x14ac:dyDescent="0.25">
      <c r="A112" t="s">
        <v>428</v>
      </c>
      <c r="C112" t="s">
        <v>429</v>
      </c>
      <c r="D112" t="s">
        <v>429</v>
      </c>
      <c r="E112">
        <f t="shared" si="1"/>
        <v>1</v>
      </c>
      <c r="F112" t="s">
        <v>430</v>
      </c>
      <c r="G112" s="3" t="s">
        <v>431</v>
      </c>
    </row>
    <row r="113" spans="1:7" x14ac:dyDescent="0.25">
      <c r="A113" t="s">
        <v>432</v>
      </c>
      <c r="C113" t="s">
        <v>433</v>
      </c>
      <c r="D113" t="s">
        <v>433</v>
      </c>
      <c r="E113">
        <f t="shared" si="1"/>
        <v>1</v>
      </c>
      <c r="F113" t="s">
        <v>434</v>
      </c>
      <c r="G113" s="3" t="s">
        <v>435</v>
      </c>
    </row>
    <row r="114" spans="1:7" x14ac:dyDescent="0.25">
      <c r="A114" t="s">
        <v>436</v>
      </c>
      <c r="B114" t="s">
        <v>354</v>
      </c>
      <c r="C114" t="s">
        <v>437</v>
      </c>
      <c r="D114" t="s">
        <v>437</v>
      </c>
      <c r="E114">
        <f t="shared" si="1"/>
        <v>1</v>
      </c>
      <c r="F114" t="s">
        <v>438</v>
      </c>
      <c r="G114" s="3" t="s">
        <v>439</v>
      </c>
    </row>
    <row r="115" spans="1:7" x14ac:dyDescent="0.25">
      <c r="A115" t="s">
        <v>440</v>
      </c>
      <c r="C115" t="s">
        <v>441</v>
      </c>
      <c r="D115" t="s">
        <v>441</v>
      </c>
      <c r="E115">
        <f t="shared" si="1"/>
        <v>1</v>
      </c>
      <c r="F115" t="s">
        <v>442</v>
      </c>
      <c r="G115" s="3" t="s">
        <v>443</v>
      </c>
    </row>
    <row r="116" spans="1:7" x14ac:dyDescent="0.25">
      <c r="A116" t="s">
        <v>444</v>
      </c>
      <c r="C116" t="s">
        <v>445</v>
      </c>
      <c r="D116" t="s">
        <v>445</v>
      </c>
      <c r="E116">
        <f t="shared" si="1"/>
        <v>1</v>
      </c>
      <c r="G116" s="3"/>
    </row>
    <row r="117" spans="1:7" x14ac:dyDescent="0.25">
      <c r="A117" t="s">
        <v>446</v>
      </c>
      <c r="C117" t="s">
        <v>447</v>
      </c>
      <c r="D117" t="s">
        <v>447</v>
      </c>
      <c r="E117">
        <f t="shared" si="1"/>
        <v>1</v>
      </c>
      <c r="G117" s="3"/>
    </row>
    <row r="118" spans="1:7" x14ac:dyDescent="0.25">
      <c r="A118" t="s">
        <v>448</v>
      </c>
      <c r="B118" t="s">
        <v>272</v>
      </c>
      <c r="C118" t="s">
        <v>449</v>
      </c>
      <c r="D118" t="s">
        <v>449</v>
      </c>
      <c r="E118">
        <f t="shared" si="1"/>
        <v>1</v>
      </c>
      <c r="F118" t="s">
        <v>450</v>
      </c>
      <c r="G118" s="3" t="s">
        <v>451</v>
      </c>
    </row>
    <row r="119" spans="1:7" x14ac:dyDescent="0.25">
      <c r="A119" t="s">
        <v>452</v>
      </c>
      <c r="B119" t="s">
        <v>349</v>
      </c>
      <c r="C119" t="s">
        <v>453</v>
      </c>
      <c r="D119" t="s">
        <v>453</v>
      </c>
      <c r="E119">
        <f t="shared" si="1"/>
        <v>1</v>
      </c>
      <c r="F119" t="s">
        <v>454</v>
      </c>
      <c r="G119" s="3" t="s">
        <v>455</v>
      </c>
    </row>
    <row r="120" spans="1:7" x14ac:dyDescent="0.25">
      <c r="A120" t="s">
        <v>456</v>
      </c>
      <c r="B120" t="s">
        <v>97</v>
      </c>
      <c r="C120" t="s">
        <v>457</v>
      </c>
      <c r="D120" t="s">
        <v>457</v>
      </c>
      <c r="E120">
        <f t="shared" si="1"/>
        <v>1</v>
      </c>
      <c r="F120" t="s">
        <v>458</v>
      </c>
      <c r="G120" s="3" t="s">
        <v>459</v>
      </c>
    </row>
    <row r="121" spans="1:7" x14ac:dyDescent="0.25">
      <c r="A121" t="s">
        <v>460</v>
      </c>
      <c r="B121" t="s">
        <v>97</v>
      </c>
      <c r="C121" t="s">
        <v>461</v>
      </c>
      <c r="D121" t="s">
        <v>461</v>
      </c>
      <c r="E121">
        <f t="shared" si="1"/>
        <v>1</v>
      </c>
      <c r="F121" t="s">
        <v>462</v>
      </c>
      <c r="G121" s="3" t="s">
        <v>463</v>
      </c>
    </row>
    <row r="122" spans="1:7" x14ac:dyDescent="0.25">
      <c r="A122" t="s">
        <v>464</v>
      </c>
      <c r="B122" t="s">
        <v>97</v>
      </c>
      <c r="C122" t="s">
        <v>465</v>
      </c>
      <c r="D122" t="s">
        <v>465</v>
      </c>
      <c r="E122">
        <f t="shared" si="1"/>
        <v>1</v>
      </c>
      <c r="F122" t="s">
        <v>466</v>
      </c>
      <c r="G122" s="3" t="s">
        <v>467</v>
      </c>
    </row>
    <row r="123" spans="1:7" x14ac:dyDescent="0.25">
      <c r="A123" t="s">
        <v>468</v>
      </c>
      <c r="B123" t="s">
        <v>97</v>
      </c>
      <c r="C123" t="s">
        <v>469</v>
      </c>
      <c r="D123" t="s">
        <v>469</v>
      </c>
      <c r="E123">
        <f t="shared" si="1"/>
        <v>1</v>
      </c>
      <c r="F123" t="s">
        <v>470</v>
      </c>
      <c r="G123" s="3" t="s">
        <v>471</v>
      </c>
    </row>
    <row r="124" spans="1:7" x14ac:dyDescent="0.25">
      <c r="A124" t="s">
        <v>472</v>
      </c>
      <c r="B124" t="s">
        <v>97</v>
      </c>
      <c r="C124" t="s">
        <v>473</v>
      </c>
      <c r="D124" t="s">
        <v>473</v>
      </c>
      <c r="E124">
        <f t="shared" si="1"/>
        <v>1</v>
      </c>
      <c r="F124" t="s">
        <v>474</v>
      </c>
      <c r="G124" s="3" t="s">
        <v>475</v>
      </c>
    </row>
    <row r="125" spans="1:7" x14ac:dyDescent="0.25">
      <c r="A125" t="s">
        <v>476</v>
      </c>
      <c r="B125" t="s">
        <v>97</v>
      </c>
      <c r="C125" t="s">
        <v>477</v>
      </c>
      <c r="D125" t="s">
        <v>477</v>
      </c>
      <c r="E125">
        <f t="shared" si="1"/>
        <v>1</v>
      </c>
      <c r="F125" t="s">
        <v>478</v>
      </c>
      <c r="G125" s="3" t="s">
        <v>479</v>
      </c>
    </row>
    <row r="126" spans="1:7" x14ac:dyDescent="0.25">
      <c r="A126" t="s">
        <v>480</v>
      </c>
      <c r="B126" t="s">
        <v>58</v>
      </c>
      <c r="C126" t="s">
        <v>481</v>
      </c>
      <c r="D126" t="s">
        <v>481</v>
      </c>
      <c r="E126">
        <f t="shared" si="1"/>
        <v>1</v>
      </c>
      <c r="F126" t="s">
        <v>482</v>
      </c>
      <c r="G126" s="3" t="s">
        <v>483</v>
      </c>
    </row>
    <row r="127" spans="1:7" x14ac:dyDescent="0.25">
      <c r="A127" t="s">
        <v>484</v>
      </c>
      <c r="B127" t="s">
        <v>485</v>
      </c>
      <c r="C127" t="s">
        <v>486</v>
      </c>
      <c r="D127" t="s">
        <v>486</v>
      </c>
      <c r="E127">
        <f t="shared" si="1"/>
        <v>1</v>
      </c>
      <c r="F127" t="s">
        <v>487</v>
      </c>
      <c r="G127" s="3" t="s">
        <v>488</v>
      </c>
    </row>
    <row r="128" spans="1:7" x14ac:dyDescent="0.25">
      <c r="A128" t="s">
        <v>489</v>
      </c>
      <c r="B128" t="s">
        <v>354</v>
      </c>
      <c r="C128" t="s">
        <v>490</v>
      </c>
      <c r="D128" t="s">
        <v>490</v>
      </c>
      <c r="E128">
        <f t="shared" si="1"/>
        <v>1</v>
      </c>
      <c r="F128" t="s">
        <v>491</v>
      </c>
      <c r="G128" s="3" t="s">
        <v>492</v>
      </c>
    </row>
    <row r="129" spans="1:7" x14ac:dyDescent="0.25">
      <c r="A129" t="s">
        <v>493</v>
      </c>
      <c r="B129" t="s">
        <v>354</v>
      </c>
      <c r="C129" t="s">
        <v>494</v>
      </c>
      <c r="D129" t="s">
        <v>494</v>
      </c>
      <c r="E129">
        <f t="shared" si="1"/>
        <v>1</v>
      </c>
      <c r="F129" t="s">
        <v>495</v>
      </c>
      <c r="G129" s="3" t="s">
        <v>496</v>
      </c>
    </row>
    <row r="130" spans="1:7" x14ac:dyDescent="0.25">
      <c r="A130" t="s">
        <v>497</v>
      </c>
      <c r="B130" t="s">
        <v>498</v>
      </c>
      <c r="C130" t="s">
        <v>499</v>
      </c>
      <c r="D130" t="s">
        <v>499</v>
      </c>
      <c r="E130">
        <f t="shared" si="1"/>
        <v>1</v>
      </c>
      <c r="F130" t="s">
        <v>500</v>
      </c>
      <c r="G130" s="3" t="s">
        <v>501</v>
      </c>
    </row>
    <row r="131" spans="1:7" x14ac:dyDescent="0.25">
      <c r="A131" t="s">
        <v>502</v>
      </c>
      <c r="B131" t="s">
        <v>498</v>
      </c>
      <c r="C131" t="s">
        <v>503</v>
      </c>
      <c r="D131" t="s">
        <v>503</v>
      </c>
      <c r="E131">
        <f t="shared" ref="E131:E194" si="2">IF(C131=D131,1,0)</f>
        <v>1</v>
      </c>
      <c r="F131" t="s">
        <v>504</v>
      </c>
      <c r="G131" s="3" t="s">
        <v>505</v>
      </c>
    </row>
    <row r="132" spans="1:7" x14ac:dyDescent="0.25">
      <c r="A132" t="s">
        <v>506</v>
      </c>
      <c r="B132" t="s">
        <v>485</v>
      </c>
      <c r="C132" t="s">
        <v>507</v>
      </c>
      <c r="D132" t="s">
        <v>507</v>
      </c>
      <c r="E132">
        <f t="shared" si="2"/>
        <v>1</v>
      </c>
      <c r="F132" t="s">
        <v>508</v>
      </c>
      <c r="G132" s="3" t="s">
        <v>509</v>
      </c>
    </row>
    <row r="133" spans="1:7" x14ac:dyDescent="0.25">
      <c r="A133" t="s">
        <v>510</v>
      </c>
      <c r="B133" t="s">
        <v>354</v>
      </c>
      <c r="C133" t="s">
        <v>511</v>
      </c>
      <c r="D133" t="s">
        <v>511</v>
      </c>
      <c r="E133">
        <f t="shared" si="2"/>
        <v>1</v>
      </c>
      <c r="F133" t="s">
        <v>512</v>
      </c>
      <c r="G133" s="3" t="s">
        <v>513</v>
      </c>
    </row>
    <row r="134" spans="1:7" x14ac:dyDescent="0.25">
      <c r="A134" t="s">
        <v>514</v>
      </c>
      <c r="B134" t="s">
        <v>354</v>
      </c>
      <c r="C134" t="s">
        <v>515</v>
      </c>
      <c r="D134" t="s">
        <v>515</v>
      </c>
      <c r="E134">
        <f t="shared" si="2"/>
        <v>1</v>
      </c>
      <c r="F134" t="s">
        <v>516</v>
      </c>
      <c r="G134" s="3" t="s">
        <v>517</v>
      </c>
    </row>
    <row r="135" spans="1:7" x14ac:dyDescent="0.25">
      <c r="A135" t="s">
        <v>518</v>
      </c>
      <c r="B135" t="s">
        <v>498</v>
      </c>
      <c r="C135" t="s">
        <v>519</v>
      </c>
      <c r="D135" t="s">
        <v>519</v>
      </c>
      <c r="E135">
        <f t="shared" si="2"/>
        <v>1</v>
      </c>
      <c r="F135" t="s">
        <v>520</v>
      </c>
      <c r="G135" s="3" t="s">
        <v>521</v>
      </c>
    </row>
    <row r="136" spans="1:7" x14ac:dyDescent="0.25">
      <c r="A136" t="s">
        <v>522</v>
      </c>
      <c r="B136" t="s">
        <v>498</v>
      </c>
      <c r="C136" t="s">
        <v>523</v>
      </c>
      <c r="D136" t="s">
        <v>523</v>
      </c>
      <c r="E136">
        <f t="shared" si="2"/>
        <v>1</v>
      </c>
      <c r="F136" t="s">
        <v>524</v>
      </c>
      <c r="G136" s="3" t="s">
        <v>525</v>
      </c>
    </row>
    <row r="137" spans="1:7" x14ac:dyDescent="0.25">
      <c r="A137" t="s">
        <v>526</v>
      </c>
      <c r="B137" t="s">
        <v>485</v>
      </c>
      <c r="C137" t="s">
        <v>527</v>
      </c>
      <c r="D137" t="s">
        <v>527</v>
      </c>
      <c r="E137">
        <f t="shared" si="2"/>
        <v>1</v>
      </c>
      <c r="F137" t="s">
        <v>528</v>
      </c>
      <c r="G137" s="3" t="s">
        <v>529</v>
      </c>
    </row>
    <row r="138" spans="1:7" x14ac:dyDescent="0.25">
      <c r="A138" t="s">
        <v>530</v>
      </c>
      <c r="B138" t="s">
        <v>354</v>
      </c>
      <c r="C138" t="s">
        <v>531</v>
      </c>
      <c r="D138" t="s">
        <v>531</v>
      </c>
      <c r="E138">
        <f t="shared" si="2"/>
        <v>1</v>
      </c>
      <c r="F138" t="s">
        <v>532</v>
      </c>
      <c r="G138" s="3" t="s">
        <v>533</v>
      </c>
    </row>
    <row r="139" spans="1:7" x14ac:dyDescent="0.25">
      <c r="A139" t="s">
        <v>534</v>
      </c>
      <c r="B139" t="s">
        <v>354</v>
      </c>
      <c r="C139" t="s">
        <v>535</v>
      </c>
      <c r="D139" t="s">
        <v>535</v>
      </c>
      <c r="E139">
        <f t="shared" si="2"/>
        <v>1</v>
      </c>
      <c r="F139" t="s">
        <v>536</v>
      </c>
      <c r="G139" s="3" t="s">
        <v>537</v>
      </c>
    </row>
    <row r="140" spans="1:7" x14ac:dyDescent="0.25">
      <c r="A140" t="s">
        <v>538</v>
      </c>
      <c r="B140" t="s">
        <v>498</v>
      </c>
      <c r="C140" t="s">
        <v>539</v>
      </c>
      <c r="D140" t="s">
        <v>539</v>
      </c>
      <c r="E140">
        <f t="shared" si="2"/>
        <v>1</v>
      </c>
      <c r="F140" t="s">
        <v>540</v>
      </c>
      <c r="G140" s="3" t="s">
        <v>541</v>
      </c>
    </row>
    <row r="141" spans="1:7" x14ac:dyDescent="0.25">
      <c r="A141" t="s">
        <v>542</v>
      </c>
      <c r="B141" t="s">
        <v>498</v>
      </c>
      <c r="C141" t="s">
        <v>543</v>
      </c>
      <c r="D141" t="s">
        <v>543</v>
      </c>
      <c r="E141">
        <f t="shared" si="2"/>
        <v>1</v>
      </c>
      <c r="F141" t="s">
        <v>544</v>
      </c>
      <c r="G141" s="3" t="s">
        <v>545</v>
      </c>
    </row>
    <row r="142" spans="1:7" x14ac:dyDescent="0.25">
      <c r="A142" t="s">
        <v>546</v>
      </c>
      <c r="B142" t="s">
        <v>277</v>
      </c>
      <c r="C142" t="s">
        <v>547</v>
      </c>
      <c r="D142" t="s">
        <v>547</v>
      </c>
      <c r="E142">
        <f t="shared" si="2"/>
        <v>1</v>
      </c>
      <c r="F142" t="s">
        <v>548</v>
      </c>
      <c r="G142" s="3" t="s">
        <v>549</v>
      </c>
    </row>
    <row r="143" spans="1:7" x14ac:dyDescent="0.25">
      <c r="A143" t="s">
        <v>550</v>
      </c>
      <c r="B143" t="s">
        <v>277</v>
      </c>
      <c r="C143" t="s">
        <v>551</v>
      </c>
      <c r="D143" t="s">
        <v>551</v>
      </c>
      <c r="E143">
        <f t="shared" si="2"/>
        <v>1</v>
      </c>
      <c r="F143" t="s">
        <v>552</v>
      </c>
      <c r="G143" s="3" t="s">
        <v>553</v>
      </c>
    </row>
    <row r="144" spans="1:7" x14ac:dyDescent="0.25">
      <c r="A144" t="s">
        <v>554</v>
      </c>
      <c r="B144" t="s">
        <v>277</v>
      </c>
      <c r="C144" t="s">
        <v>555</v>
      </c>
      <c r="D144" t="s">
        <v>555</v>
      </c>
      <c r="E144">
        <f t="shared" si="2"/>
        <v>1</v>
      </c>
      <c r="F144" t="s">
        <v>556</v>
      </c>
      <c r="G144" s="3" t="s">
        <v>557</v>
      </c>
    </row>
    <row r="145" spans="1:7" x14ac:dyDescent="0.25">
      <c r="A145" t="s">
        <v>558</v>
      </c>
      <c r="B145" t="s">
        <v>559</v>
      </c>
      <c r="C145" t="s">
        <v>560</v>
      </c>
      <c r="D145" t="s">
        <v>560</v>
      </c>
      <c r="E145">
        <f t="shared" si="2"/>
        <v>1</v>
      </c>
      <c r="F145" t="s">
        <v>561</v>
      </c>
      <c r="G145" s="3" t="s">
        <v>562</v>
      </c>
    </row>
    <row r="146" spans="1:7" x14ac:dyDescent="0.25">
      <c r="A146" t="s">
        <v>563</v>
      </c>
      <c r="B146" t="s">
        <v>354</v>
      </c>
      <c r="C146" t="s">
        <v>564</v>
      </c>
      <c r="D146" t="s">
        <v>564</v>
      </c>
      <c r="E146">
        <f t="shared" si="2"/>
        <v>1</v>
      </c>
      <c r="F146" t="s">
        <v>565</v>
      </c>
      <c r="G146" s="3" t="s">
        <v>566</v>
      </c>
    </row>
    <row r="147" spans="1:7" x14ac:dyDescent="0.25">
      <c r="A147" t="s">
        <v>567</v>
      </c>
      <c r="B147" t="s">
        <v>498</v>
      </c>
      <c r="C147" t="s">
        <v>568</v>
      </c>
      <c r="D147" t="s">
        <v>568</v>
      </c>
      <c r="E147">
        <f t="shared" si="2"/>
        <v>1</v>
      </c>
      <c r="F147" t="s">
        <v>569</v>
      </c>
      <c r="G147" s="3" t="s">
        <v>570</v>
      </c>
    </row>
    <row r="148" spans="1:7" x14ac:dyDescent="0.25">
      <c r="A148" t="s">
        <v>571</v>
      </c>
      <c r="B148" t="s">
        <v>277</v>
      </c>
      <c r="C148" t="s">
        <v>572</v>
      </c>
      <c r="D148" t="s">
        <v>572</v>
      </c>
      <c r="E148">
        <f t="shared" si="2"/>
        <v>1</v>
      </c>
      <c r="F148" t="s">
        <v>573</v>
      </c>
      <c r="G148" s="3" t="s">
        <v>574</v>
      </c>
    </row>
    <row r="149" spans="1:7" x14ac:dyDescent="0.25">
      <c r="A149" t="s">
        <v>575</v>
      </c>
      <c r="B149" t="s">
        <v>559</v>
      </c>
      <c r="C149" t="s">
        <v>576</v>
      </c>
      <c r="D149" t="s">
        <v>576</v>
      </c>
      <c r="E149">
        <f t="shared" si="2"/>
        <v>1</v>
      </c>
      <c r="F149" t="s">
        <v>577</v>
      </c>
      <c r="G149" s="3" t="s">
        <v>578</v>
      </c>
    </row>
    <row r="150" spans="1:7" x14ac:dyDescent="0.25">
      <c r="A150" t="s">
        <v>579</v>
      </c>
      <c r="B150" t="s">
        <v>277</v>
      </c>
      <c r="C150" t="s">
        <v>580</v>
      </c>
      <c r="D150" t="s">
        <v>580</v>
      </c>
      <c r="E150">
        <f t="shared" si="2"/>
        <v>1</v>
      </c>
      <c r="F150" t="s">
        <v>581</v>
      </c>
      <c r="G150" s="3" t="s">
        <v>582</v>
      </c>
    </row>
    <row r="151" spans="1:7" x14ac:dyDescent="0.25">
      <c r="A151" t="s">
        <v>583</v>
      </c>
      <c r="B151" t="s">
        <v>584</v>
      </c>
      <c r="C151" t="s">
        <v>585</v>
      </c>
      <c r="D151" t="s">
        <v>585</v>
      </c>
      <c r="E151">
        <f t="shared" si="2"/>
        <v>1</v>
      </c>
      <c r="F151" t="s">
        <v>586</v>
      </c>
      <c r="G151" s="3" t="s">
        <v>587</v>
      </c>
    </row>
    <row r="152" spans="1:7" x14ac:dyDescent="0.25">
      <c r="A152" t="s">
        <v>588</v>
      </c>
      <c r="B152" t="s">
        <v>559</v>
      </c>
      <c r="C152" t="s">
        <v>589</v>
      </c>
      <c r="D152" t="s">
        <v>589</v>
      </c>
      <c r="E152">
        <f t="shared" si="2"/>
        <v>1</v>
      </c>
      <c r="F152" t="s">
        <v>590</v>
      </c>
      <c r="G152" s="3" t="s">
        <v>591</v>
      </c>
    </row>
    <row r="153" spans="1:7" x14ac:dyDescent="0.25">
      <c r="A153" t="s">
        <v>592</v>
      </c>
      <c r="B153" t="s">
        <v>498</v>
      </c>
      <c r="C153" t="s">
        <v>593</v>
      </c>
      <c r="D153" t="s">
        <v>593</v>
      </c>
      <c r="E153">
        <f t="shared" si="2"/>
        <v>1</v>
      </c>
      <c r="F153" t="s">
        <v>594</v>
      </c>
      <c r="G153" s="3" t="s">
        <v>595</v>
      </c>
    </row>
    <row r="154" spans="1:7" x14ac:dyDescent="0.25">
      <c r="A154" t="s">
        <v>596</v>
      </c>
      <c r="B154" t="s">
        <v>277</v>
      </c>
      <c r="C154" t="s">
        <v>597</v>
      </c>
      <c r="D154" t="s">
        <v>597</v>
      </c>
      <c r="E154">
        <f t="shared" si="2"/>
        <v>1</v>
      </c>
      <c r="F154" t="s">
        <v>598</v>
      </c>
      <c r="G154" s="3" t="s">
        <v>599</v>
      </c>
    </row>
    <row r="155" spans="1:7" x14ac:dyDescent="0.25">
      <c r="A155" t="s">
        <v>600</v>
      </c>
      <c r="B155" t="s">
        <v>559</v>
      </c>
      <c r="C155" t="s">
        <v>601</v>
      </c>
      <c r="D155" t="s">
        <v>601</v>
      </c>
      <c r="E155">
        <f t="shared" si="2"/>
        <v>1</v>
      </c>
      <c r="F155" t="s">
        <v>602</v>
      </c>
      <c r="G155" s="3" t="s">
        <v>603</v>
      </c>
    </row>
    <row r="156" spans="1:7" x14ac:dyDescent="0.25">
      <c r="A156" t="s">
        <v>604</v>
      </c>
      <c r="B156" t="s">
        <v>354</v>
      </c>
      <c r="C156" t="s">
        <v>605</v>
      </c>
      <c r="D156" t="s">
        <v>605</v>
      </c>
      <c r="E156">
        <f t="shared" si="2"/>
        <v>1</v>
      </c>
      <c r="F156" t="s">
        <v>606</v>
      </c>
      <c r="G156" s="3" t="s">
        <v>607</v>
      </c>
    </row>
    <row r="157" spans="1:7" x14ac:dyDescent="0.25">
      <c r="A157" t="s">
        <v>608</v>
      </c>
      <c r="B157" t="s">
        <v>97</v>
      </c>
      <c r="C157" t="s">
        <v>609</v>
      </c>
      <c r="D157" t="s">
        <v>609</v>
      </c>
      <c r="E157">
        <f t="shared" si="2"/>
        <v>1</v>
      </c>
      <c r="F157" t="s">
        <v>610</v>
      </c>
      <c r="G157" s="3" t="s">
        <v>611</v>
      </c>
    </row>
    <row r="158" spans="1:7" x14ac:dyDescent="0.25">
      <c r="A158" t="s">
        <v>612</v>
      </c>
      <c r="B158" t="s">
        <v>559</v>
      </c>
      <c r="C158" t="s">
        <v>613</v>
      </c>
      <c r="D158" t="s">
        <v>613</v>
      </c>
      <c r="E158">
        <f t="shared" si="2"/>
        <v>1</v>
      </c>
      <c r="F158" t="s">
        <v>614</v>
      </c>
      <c r="G158" s="3" t="s">
        <v>615</v>
      </c>
    </row>
    <row r="159" spans="1:7" x14ac:dyDescent="0.25">
      <c r="A159" t="s">
        <v>616</v>
      </c>
      <c r="B159" t="s">
        <v>354</v>
      </c>
      <c r="C159" t="s">
        <v>617</v>
      </c>
      <c r="D159" t="s">
        <v>617</v>
      </c>
      <c r="E159">
        <f t="shared" si="2"/>
        <v>1</v>
      </c>
      <c r="F159" t="s">
        <v>618</v>
      </c>
      <c r="G159" s="3" t="s">
        <v>619</v>
      </c>
    </row>
    <row r="160" spans="1:7" x14ac:dyDescent="0.25">
      <c r="A160" t="s">
        <v>620</v>
      </c>
      <c r="B160" t="s">
        <v>97</v>
      </c>
      <c r="C160" t="s">
        <v>621</v>
      </c>
      <c r="D160" t="s">
        <v>621</v>
      </c>
      <c r="E160">
        <f t="shared" si="2"/>
        <v>1</v>
      </c>
      <c r="F160" t="s">
        <v>622</v>
      </c>
      <c r="G160" s="3" t="s">
        <v>623</v>
      </c>
    </row>
    <row r="161" spans="1:7" x14ac:dyDescent="0.25">
      <c r="A161" t="s">
        <v>624</v>
      </c>
      <c r="B161" t="s">
        <v>277</v>
      </c>
      <c r="C161" t="s">
        <v>625</v>
      </c>
      <c r="D161" t="s">
        <v>625</v>
      </c>
      <c r="E161">
        <f t="shared" si="2"/>
        <v>1</v>
      </c>
      <c r="F161" t="s">
        <v>626</v>
      </c>
      <c r="G161" s="3" t="s">
        <v>627</v>
      </c>
    </row>
    <row r="162" spans="1:7" x14ac:dyDescent="0.25">
      <c r="A162" t="s">
        <v>628</v>
      </c>
      <c r="B162" t="s">
        <v>354</v>
      </c>
      <c r="C162" t="s">
        <v>629</v>
      </c>
      <c r="D162" t="s">
        <v>629</v>
      </c>
      <c r="E162">
        <f t="shared" si="2"/>
        <v>1</v>
      </c>
      <c r="F162" t="s">
        <v>630</v>
      </c>
      <c r="G162" s="3" t="s">
        <v>631</v>
      </c>
    </row>
    <row r="163" spans="1:7" x14ac:dyDescent="0.25">
      <c r="A163" t="s">
        <v>632</v>
      </c>
      <c r="B163" t="s">
        <v>277</v>
      </c>
      <c r="C163" t="s">
        <v>633</v>
      </c>
      <c r="D163" t="s">
        <v>633</v>
      </c>
      <c r="E163">
        <f t="shared" si="2"/>
        <v>1</v>
      </c>
      <c r="F163" t="s">
        <v>634</v>
      </c>
      <c r="G163" s="3" t="s">
        <v>635</v>
      </c>
    </row>
    <row r="164" spans="1:7" x14ac:dyDescent="0.25">
      <c r="A164" t="s">
        <v>636</v>
      </c>
      <c r="B164" t="s">
        <v>354</v>
      </c>
      <c r="C164" t="s">
        <v>637</v>
      </c>
      <c r="D164" t="s">
        <v>637</v>
      </c>
      <c r="E164">
        <f t="shared" si="2"/>
        <v>1</v>
      </c>
      <c r="F164" t="s">
        <v>638</v>
      </c>
      <c r="G164" s="3" t="s">
        <v>639</v>
      </c>
    </row>
    <row r="165" spans="1:7" x14ac:dyDescent="0.25">
      <c r="A165" t="s">
        <v>640</v>
      </c>
      <c r="B165" t="s">
        <v>354</v>
      </c>
      <c r="C165" t="s">
        <v>641</v>
      </c>
      <c r="D165" t="s">
        <v>641</v>
      </c>
      <c r="E165">
        <f t="shared" si="2"/>
        <v>1</v>
      </c>
      <c r="F165" t="s">
        <v>642</v>
      </c>
      <c r="G165" s="3" t="s">
        <v>643</v>
      </c>
    </row>
    <row r="166" spans="1:7" x14ac:dyDescent="0.25">
      <c r="A166" t="s">
        <v>644</v>
      </c>
      <c r="B166" t="s">
        <v>354</v>
      </c>
      <c r="C166" t="s">
        <v>645</v>
      </c>
      <c r="D166" t="s">
        <v>645</v>
      </c>
      <c r="E166">
        <f t="shared" si="2"/>
        <v>1</v>
      </c>
      <c r="F166" t="s">
        <v>646</v>
      </c>
      <c r="G166" s="3" t="s">
        <v>647</v>
      </c>
    </row>
    <row r="167" spans="1:7" x14ac:dyDescent="0.25">
      <c r="A167" t="s">
        <v>648</v>
      </c>
      <c r="B167" t="s">
        <v>354</v>
      </c>
      <c r="C167" t="s">
        <v>649</v>
      </c>
      <c r="D167" t="s">
        <v>649</v>
      </c>
      <c r="E167">
        <f t="shared" si="2"/>
        <v>1</v>
      </c>
      <c r="F167" t="s">
        <v>650</v>
      </c>
      <c r="G167" s="3" t="s">
        <v>651</v>
      </c>
    </row>
    <row r="168" spans="1:7" x14ac:dyDescent="0.25">
      <c r="A168" t="s">
        <v>652</v>
      </c>
      <c r="B168" t="s">
        <v>277</v>
      </c>
      <c r="C168" t="s">
        <v>653</v>
      </c>
      <c r="D168" t="s">
        <v>653</v>
      </c>
      <c r="E168">
        <f t="shared" si="2"/>
        <v>1</v>
      </c>
      <c r="F168" t="s">
        <v>654</v>
      </c>
      <c r="G168" s="3" t="s">
        <v>655</v>
      </c>
    </row>
    <row r="169" spans="1:7" x14ac:dyDescent="0.25">
      <c r="A169" t="s">
        <v>656</v>
      </c>
      <c r="B169" t="s">
        <v>277</v>
      </c>
      <c r="C169" t="s">
        <v>657</v>
      </c>
      <c r="D169" t="s">
        <v>657</v>
      </c>
      <c r="E169">
        <f t="shared" si="2"/>
        <v>1</v>
      </c>
      <c r="F169" t="s">
        <v>658</v>
      </c>
      <c r="G169" s="3" t="s">
        <v>659</v>
      </c>
    </row>
    <row r="170" spans="1:7" x14ac:dyDescent="0.25">
      <c r="A170" t="s">
        <v>660</v>
      </c>
      <c r="C170" t="s">
        <v>661</v>
      </c>
      <c r="D170" t="s">
        <v>661</v>
      </c>
      <c r="E170">
        <f t="shared" si="2"/>
        <v>1</v>
      </c>
      <c r="F170" t="s">
        <v>662</v>
      </c>
      <c r="G170" s="3" t="s">
        <v>663</v>
      </c>
    </row>
    <row r="171" spans="1:7" x14ac:dyDescent="0.25">
      <c r="A171" t="s">
        <v>664</v>
      </c>
      <c r="C171" t="s">
        <v>665</v>
      </c>
      <c r="D171" t="s">
        <v>665</v>
      </c>
      <c r="E171">
        <f t="shared" si="2"/>
        <v>1</v>
      </c>
      <c r="F171" t="s">
        <v>666</v>
      </c>
      <c r="G171" s="3" t="s">
        <v>667</v>
      </c>
    </row>
    <row r="172" spans="1:7" x14ac:dyDescent="0.25">
      <c r="A172" t="s">
        <v>668</v>
      </c>
      <c r="C172" t="s">
        <v>669</v>
      </c>
      <c r="D172" t="s">
        <v>669</v>
      </c>
      <c r="E172">
        <f t="shared" si="2"/>
        <v>1</v>
      </c>
      <c r="F172" t="s">
        <v>670</v>
      </c>
      <c r="G172" s="3" t="s">
        <v>671</v>
      </c>
    </row>
    <row r="173" spans="1:7" x14ac:dyDescent="0.25">
      <c r="A173" t="s">
        <v>672</v>
      </c>
      <c r="C173" t="s">
        <v>673</v>
      </c>
      <c r="D173" t="s">
        <v>673</v>
      </c>
      <c r="E173">
        <f t="shared" si="2"/>
        <v>1</v>
      </c>
      <c r="F173" t="s">
        <v>674</v>
      </c>
      <c r="G173" s="3" t="s">
        <v>675</v>
      </c>
    </row>
    <row r="174" spans="1:7" x14ac:dyDescent="0.25">
      <c r="A174" t="s">
        <v>676</v>
      </c>
      <c r="C174" t="s">
        <v>677</v>
      </c>
      <c r="D174" t="s">
        <v>677</v>
      </c>
      <c r="E174">
        <f t="shared" si="2"/>
        <v>1</v>
      </c>
      <c r="F174" t="s">
        <v>678</v>
      </c>
      <c r="G174" s="3" t="s">
        <v>679</v>
      </c>
    </row>
    <row r="175" spans="1:7" x14ac:dyDescent="0.25">
      <c r="A175" t="s">
        <v>680</v>
      </c>
      <c r="B175" t="s">
        <v>277</v>
      </c>
      <c r="C175" t="s">
        <v>681</v>
      </c>
      <c r="D175" t="s">
        <v>681</v>
      </c>
      <c r="E175">
        <f t="shared" si="2"/>
        <v>1</v>
      </c>
      <c r="F175" t="s">
        <v>682</v>
      </c>
      <c r="G175" s="3" t="s">
        <v>683</v>
      </c>
    </row>
    <row r="176" spans="1:7" x14ac:dyDescent="0.25">
      <c r="A176" t="s">
        <v>684</v>
      </c>
      <c r="B176" t="s">
        <v>277</v>
      </c>
      <c r="C176" t="s">
        <v>685</v>
      </c>
      <c r="D176" t="s">
        <v>685</v>
      </c>
      <c r="E176">
        <f t="shared" si="2"/>
        <v>1</v>
      </c>
      <c r="F176" t="s">
        <v>686</v>
      </c>
      <c r="G176" s="3" t="s">
        <v>687</v>
      </c>
    </row>
    <row r="177" spans="1:7" x14ac:dyDescent="0.25">
      <c r="A177" t="s">
        <v>688</v>
      </c>
      <c r="B177" t="s">
        <v>277</v>
      </c>
      <c r="C177" t="s">
        <v>689</v>
      </c>
      <c r="D177" t="s">
        <v>689</v>
      </c>
      <c r="E177">
        <f t="shared" si="2"/>
        <v>1</v>
      </c>
      <c r="F177" t="s">
        <v>690</v>
      </c>
      <c r="G177" s="3" t="s">
        <v>691</v>
      </c>
    </row>
    <row r="178" spans="1:7" x14ac:dyDescent="0.25">
      <c r="A178" t="s">
        <v>692</v>
      </c>
      <c r="B178" t="s">
        <v>277</v>
      </c>
      <c r="C178" t="s">
        <v>693</v>
      </c>
      <c r="D178" t="s">
        <v>693</v>
      </c>
      <c r="E178">
        <f t="shared" si="2"/>
        <v>1</v>
      </c>
      <c r="F178" t="s">
        <v>694</v>
      </c>
      <c r="G178" s="3" t="s">
        <v>695</v>
      </c>
    </row>
    <row r="179" spans="1:7" x14ac:dyDescent="0.25">
      <c r="A179" t="s">
        <v>696</v>
      </c>
      <c r="B179" t="s">
        <v>277</v>
      </c>
      <c r="C179" t="s">
        <v>697</v>
      </c>
      <c r="D179" t="s">
        <v>697</v>
      </c>
      <c r="E179">
        <f t="shared" si="2"/>
        <v>1</v>
      </c>
      <c r="F179" t="s">
        <v>698</v>
      </c>
      <c r="G179" s="3" t="s">
        <v>699</v>
      </c>
    </row>
    <row r="180" spans="1:7" x14ac:dyDescent="0.25">
      <c r="A180" t="s">
        <v>700</v>
      </c>
      <c r="B180" t="s">
        <v>277</v>
      </c>
      <c r="C180" t="s">
        <v>701</v>
      </c>
      <c r="D180" t="s">
        <v>701</v>
      </c>
      <c r="E180">
        <f t="shared" si="2"/>
        <v>1</v>
      </c>
      <c r="F180" t="s">
        <v>702</v>
      </c>
      <c r="G180" s="3" t="s">
        <v>703</v>
      </c>
    </row>
    <row r="181" spans="1:7" x14ac:dyDescent="0.25">
      <c r="A181" t="s">
        <v>704</v>
      </c>
      <c r="B181" t="s">
        <v>277</v>
      </c>
      <c r="C181" t="s">
        <v>705</v>
      </c>
      <c r="D181" t="s">
        <v>705</v>
      </c>
      <c r="E181">
        <f t="shared" si="2"/>
        <v>1</v>
      </c>
      <c r="F181" t="s">
        <v>706</v>
      </c>
      <c r="G181" s="3" t="s">
        <v>707</v>
      </c>
    </row>
    <row r="182" spans="1:7" x14ac:dyDescent="0.25">
      <c r="A182" t="s">
        <v>708</v>
      </c>
      <c r="B182" t="s">
        <v>277</v>
      </c>
      <c r="C182" t="s">
        <v>709</v>
      </c>
      <c r="D182" t="s">
        <v>709</v>
      </c>
      <c r="E182">
        <f t="shared" si="2"/>
        <v>1</v>
      </c>
      <c r="F182" t="s">
        <v>710</v>
      </c>
      <c r="G182" s="3" t="s">
        <v>711</v>
      </c>
    </row>
    <row r="183" spans="1:7" x14ac:dyDescent="0.25">
      <c r="A183" t="s">
        <v>712</v>
      </c>
      <c r="B183" t="s">
        <v>277</v>
      </c>
      <c r="C183" t="s">
        <v>713</v>
      </c>
      <c r="D183" t="s">
        <v>713</v>
      </c>
      <c r="E183">
        <f t="shared" si="2"/>
        <v>1</v>
      </c>
      <c r="F183" t="s">
        <v>714</v>
      </c>
      <c r="G183" s="3" t="s">
        <v>715</v>
      </c>
    </row>
    <row r="184" spans="1:7" x14ac:dyDescent="0.25">
      <c r="A184" t="s">
        <v>716</v>
      </c>
      <c r="B184" t="s">
        <v>277</v>
      </c>
      <c r="C184" t="s">
        <v>717</v>
      </c>
      <c r="D184" t="s">
        <v>717</v>
      </c>
      <c r="E184">
        <f t="shared" si="2"/>
        <v>1</v>
      </c>
      <c r="F184" t="s">
        <v>718</v>
      </c>
      <c r="G184" s="3" t="s">
        <v>719</v>
      </c>
    </row>
    <row r="185" spans="1:7" x14ac:dyDescent="0.25">
      <c r="A185" t="s">
        <v>720</v>
      </c>
      <c r="B185" t="s">
        <v>277</v>
      </c>
      <c r="C185" t="s">
        <v>721</v>
      </c>
      <c r="D185" t="s">
        <v>721</v>
      </c>
      <c r="E185">
        <f t="shared" si="2"/>
        <v>1</v>
      </c>
      <c r="F185" t="s">
        <v>722</v>
      </c>
      <c r="G185" s="3" t="s">
        <v>723</v>
      </c>
    </row>
    <row r="186" spans="1:7" x14ac:dyDescent="0.25">
      <c r="A186" t="s">
        <v>724</v>
      </c>
      <c r="B186" t="s">
        <v>354</v>
      </c>
      <c r="C186" t="s">
        <v>725</v>
      </c>
      <c r="D186" t="s">
        <v>725</v>
      </c>
      <c r="E186">
        <f t="shared" si="2"/>
        <v>1</v>
      </c>
      <c r="F186" t="s">
        <v>726</v>
      </c>
      <c r="G186" s="3" t="s">
        <v>727</v>
      </c>
    </row>
    <row r="187" spans="1:7" x14ac:dyDescent="0.25">
      <c r="A187" t="s">
        <v>728</v>
      </c>
      <c r="B187" t="s">
        <v>277</v>
      </c>
      <c r="C187" t="s">
        <v>729</v>
      </c>
      <c r="D187" t="s">
        <v>729</v>
      </c>
      <c r="E187">
        <f t="shared" si="2"/>
        <v>1</v>
      </c>
      <c r="F187" t="s">
        <v>730</v>
      </c>
      <c r="G187" s="3" t="s">
        <v>731</v>
      </c>
    </row>
    <row r="188" spans="1:7" x14ac:dyDescent="0.25">
      <c r="A188" t="s">
        <v>732</v>
      </c>
      <c r="B188" t="s">
        <v>277</v>
      </c>
      <c r="C188" t="s">
        <v>733</v>
      </c>
      <c r="D188" t="s">
        <v>733</v>
      </c>
      <c r="E188">
        <f t="shared" si="2"/>
        <v>1</v>
      </c>
      <c r="F188" t="s">
        <v>734</v>
      </c>
      <c r="G188" s="3" t="s">
        <v>735</v>
      </c>
    </row>
    <row r="189" spans="1:7" x14ac:dyDescent="0.25">
      <c r="A189" t="s">
        <v>736</v>
      </c>
      <c r="B189" t="s">
        <v>559</v>
      </c>
      <c r="C189" t="s">
        <v>737</v>
      </c>
      <c r="D189" t="s">
        <v>737</v>
      </c>
      <c r="E189">
        <f t="shared" si="2"/>
        <v>1</v>
      </c>
      <c r="F189" t="s">
        <v>738</v>
      </c>
      <c r="G189" s="3" t="s">
        <v>739</v>
      </c>
    </row>
    <row r="190" spans="1:7" x14ac:dyDescent="0.25">
      <c r="A190" t="s">
        <v>740</v>
      </c>
      <c r="B190" t="s">
        <v>277</v>
      </c>
      <c r="C190" t="s">
        <v>741</v>
      </c>
      <c r="D190" t="s">
        <v>741</v>
      </c>
      <c r="E190">
        <f t="shared" si="2"/>
        <v>1</v>
      </c>
      <c r="F190" t="s">
        <v>742</v>
      </c>
      <c r="G190" s="3" t="s">
        <v>743</v>
      </c>
    </row>
    <row r="191" spans="1:7" x14ac:dyDescent="0.25">
      <c r="A191" t="s">
        <v>744</v>
      </c>
      <c r="B191" t="s">
        <v>277</v>
      </c>
      <c r="C191" t="s">
        <v>745</v>
      </c>
      <c r="D191" t="s">
        <v>745</v>
      </c>
      <c r="E191">
        <f t="shared" si="2"/>
        <v>1</v>
      </c>
      <c r="F191" t="s">
        <v>746</v>
      </c>
      <c r="G191" s="3" t="s">
        <v>747</v>
      </c>
    </row>
    <row r="192" spans="1:7" x14ac:dyDescent="0.25">
      <c r="A192" t="s">
        <v>748</v>
      </c>
      <c r="B192" t="s">
        <v>277</v>
      </c>
      <c r="C192" t="s">
        <v>749</v>
      </c>
      <c r="D192" t="s">
        <v>749</v>
      </c>
      <c r="E192">
        <f t="shared" si="2"/>
        <v>1</v>
      </c>
      <c r="F192" t="s">
        <v>750</v>
      </c>
      <c r="G192" s="3" t="s">
        <v>751</v>
      </c>
    </row>
    <row r="193" spans="1:7" x14ac:dyDescent="0.25">
      <c r="A193" t="s">
        <v>752</v>
      </c>
      <c r="B193" t="s">
        <v>72</v>
      </c>
      <c r="C193" t="s">
        <v>753</v>
      </c>
      <c r="D193" t="s">
        <v>753</v>
      </c>
      <c r="E193">
        <f t="shared" si="2"/>
        <v>1</v>
      </c>
      <c r="F193" t="s">
        <v>754</v>
      </c>
      <c r="G193" s="3" t="s">
        <v>755</v>
      </c>
    </row>
    <row r="194" spans="1:7" x14ac:dyDescent="0.25">
      <c r="A194" t="s">
        <v>756</v>
      </c>
      <c r="B194" t="s">
        <v>277</v>
      </c>
      <c r="C194" t="s">
        <v>757</v>
      </c>
      <c r="D194" t="s">
        <v>757</v>
      </c>
      <c r="E194">
        <f t="shared" si="2"/>
        <v>1</v>
      </c>
      <c r="F194" t="s">
        <v>758</v>
      </c>
      <c r="G194" s="3" t="s">
        <v>759</v>
      </c>
    </row>
    <row r="195" spans="1:7" x14ac:dyDescent="0.25">
      <c r="A195" t="s">
        <v>760</v>
      </c>
      <c r="B195" t="s">
        <v>559</v>
      </c>
      <c r="C195" t="s">
        <v>761</v>
      </c>
      <c r="D195" t="s">
        <v>761</v>
      </c>
      <c r="E195">
        <f t="shared" ref="E195:E258" si="3">IF(C195=D195,1,0)</f>
        <v>1</v>
      </c>
      <c r="F195" t="s">
        <v>762</v>
      </c>
      <c r="G195" s="3" t="s">
        <v>763</v>
      </c>
    </row>
    <row r="196" spans="1:7" x14ac:dyDescent="0.25">
      <c r="A196" t="s">
        <v>764</v>
      </c>
      <c r="B196" t="s">
        <v>559</v>
      </c>
      <c r="C196" t="s">
        <v>765</v>
      </c>
      <c r="D196" t="s">
        <v>765</v>
      </c>
      <c r="E196">
        <f t="shared" si="3"/>
        <v>1</v>
      </c>
      <c r="F196" t="s">
        <v>766</v>
      </c>
      <c r="G196" s="3" t="s">
        <v>767</v>
      </c>
    </row>
    <row r="197" spans="1:7" x14ac:dyDescent="0.25">
      <c r="A197" t="s">
        <v>768</v>
      </c>
      <c r="B197" t="s">
        <v>349</v>
      </c>
      <c r="C197" t="s">
        <v>769</v>
      </c>
      <c r="D197" t="s">
        <v>769</v>
      </c>
      <c r="E197">
        <f t="shared" si="3"/>
        <v>1</v>
      </c>
      <c r="F197" t="s">
        <v>770</v>
      </c>
      <c r="G197" s="3" t="s">
        <v>771</v>
      </c>
    </row>
    <row r="198" spans="1:7" x14ac:dyDescent="0.25">
      <c r="A198" t="s">
        <v>772</v>
      </c>
      <c r="B198" t="s">
        <v>354</v>
      </c>
      <c r="C198" t="s">
        <v>773</v>
      </c>
      <c r="D198" t="s">
        <v>773</v>
      </c>
      <c r="E198">
        <f t="shared" si="3"/>
        <v>1</v>
      </c>
      <c r="F198" t="s">
        <v>774</v>
      </c>
      <c r="G198" s="3" t="s">
        <v>775</v>
      </c>
    </row>
    <row r="199" spans="1:7" x14ac:dyDescent="0.25">
      <c r="A199" t="s">
        <v>776</v>
      </c>
      <c r="B199" t="s">
        <v>335</v>
      </c>
      <c r="C199" t="s">
        <v>777</v>
      </c>
      <c r="D199" t="s">
        <v>777</v>
      </c>
      <c r="E199">
        <f t="shared" si="3"/>
        <v>1</v>
      </c>
      <c r="F199" t="s">
        <v>778</v>
      </c>
      <c r="G199" s="3" t="s">
        <v>779</v>
      </c>
    </row>
    <row r="200" spans="1:7" x14ac:dyDescent="0.25">
      <c r="A200" t="s">
        <v>780</v>
      </c>
      <c r="B200" t="s">
        <v>272</v>
      </c>
      <c r="C200" t="s">
        <v>781</v>
      </c>
      <c r="D200" t="s">
        <v>781</v>
      </c>
      <c r="E200">
        <f t="shared" si="3"/>
        <v>1</v>
      </c>
      <c r="F200" t="s">
        <v>782</v>
      </c>
      <c r="G200" s="3" t="s">
        <v>783</v>
      </c>
    </row>
    <row r="201" spans="1:7" x14ac:dyDescent="0.25">
      <c r="A201" t="s">
        <v>784</v>
      </c>
      <c r="B201" t="s">
        <v>344</v>
      </c>
      <c r="C201" t="s">
        <v>785</v>
      </c>
      <c r="D201" t="s">
        <v>785</v>
      </c>
      <c r="E201">
        <f t="shared" si="3"/>
        <v>1</v>
      </c>
      <c r="F201" t="s">
        <v>786</v>
      </c>
      <c r="G201" s="3" t="s">
        <v>787</v>
      </c>
    </row>
    <row r="202" spans="1:7" x14ac:dyDescent="0.25">
      <c r="A202" t="s">
        <v>788</v>
      </c>
      <c r="B202" t="s">
        <v>335</v>
      </c>
      <c r="C202" t="s">
        <v>789</v>
      </c>
      <c r="D202" t="s">
        <v>789</v>
      </c>
      <c r="E202">
        <f t="shared" si="3"/>
        <v>1</v>
      </c>
      <c r="F202" t="s">
        <v>790</v>
      </c>
      <c r="G202" s="3" t="s">
        <v>791</v>
      </c>
    </row>
    <row r="203" spans="1:7" x14ac:dyDescent="0.25">
      <c r="A203" t="s">
        <v>792</v>
      </c>
      <c r="B203" t="s">
        <v>272</v>
      </c>
      <c r="C203" t="s">
        <v>793</v>
      </c>
      <c r="D203" t="s">
        <v>793</v>
      </c>
      <c r="E203">
        <f t="shared" si="3"/>
        <v>1</v>
      </c>
      <c r="F203" t="s">
        <v>794</v>
      </c>
      <c r="G203" s="3" t="s">
        <v>795</v>
      </c>
    </row>
    <row r="204" spans="1:7" x14ac:dyDescent="0.25">
      <c r="A204" t="s">
        <v>796</v>
      </c>
      <c r="B204" t="s">
        <v>354</v>
      </c>
      <c r="C204" t="s">
        <v>797</v>
      </c>
      <c r="D204" t="s">
        <v>797</v>
      </c>
      <c r="E204">
        <f t="shared" si="3"/>
        <v>1</v>
      </c>
      <c r="F204" t="s">
        <v>798</v>
      </c>
      <c r="G204" s="3" t="s">
        <v>799</v>
      </c>
    </row>
    <row r="205" spans="1:7" x14ac:dyDescent="0.25">
      <c r="A205" t="s">
        <v>800</v>
      </c>
      <c r="B205" t="s">
        <v>344</v>
      </c>
      <c r="C205" t="s">
        <v>801</v>
      </c>
      <c r="D205" t="s">
        <v>801</v>
      </c>
      <c r="E205">
        <f t="shared" si="3"/>
        <v>1</v>
      </c>
      <c r="F205" t="s">
        <v>802</v>
      </c>
      <c r="G205" s="3" t="s">
        <v>803</v>
      </c>
    </row>
    <row r="206" spans="1:7" x14ac:dyDescent="0.25">
      <c r="A206" t="s">
        <v>804</v>
      </c>
      <c r="B206" t="s">
        <v>335</v>
      </c>
      <c r="C206" t="s">
        <v>805</v>
      </c>
      <c r="D206" t="s">
        <v>805</v>
      </c>
      <c r="E206">
        <f t="shared" si="3"/>
        <v>1</v>
      </c>
      <c r="F206" t="s">
        <v>806</v>
      </c>
      <c r="G206" s="3" t="s">
        <v>807</v>
      </c>
    </row>
    <row r="207" spans="1:7" x14ac:dyDescent="0.25">
      <c r="A207" t="s">
        <v>808</v>
      </c>
      <c r="B207" t="s">
        <v>272</v>
      </c>
      <c r="C207" t="s">
        <v>809</v>
      </c>
      <c r="D207" t="s">
        <v>809</v>
      </c>
      <c r="E207">
        <f t="shared" si="3"/>
        <v>1</v>
      </c>
      <c r="F207" t="s">
        <v>810</v>
      </c>
      <c r="G207" s="3" t="s">
        <v>811</v>
      </c>
    </row>
    <row r="208" spans="1:7" x14ac:dyDescent="0.25">
      <c r="A208" t="s">
        <v>812</v>
      </c>
      <c r="B208" t="s">
        <v>354</v>
      </c>
      <c r="C208" t="s">
        <v>813</v>
      </c>
      <c r="D208" t="s">
        <v>813</v>
      </c>
      <c r="E208">
        <f t="shared" si="3"/>
        <v>1</v>
      </c>
      <c r="F208" t="s">
        <v>814</v>
      </c>
      <c r="G208" s="3" t="s">
        <v>815</v>
      </c>
    </row>
    <row r="209" spans="1:7" x14ac:dyDescent="0.25">
      <c r="A209" t="s">
        <v>816</v>
      </c>
      <c r="C209" t="s">
        <v>817</v>
      </c>
      <c r="D209" t="s">
        <v>817</v>
      </c>
      <c r="E209">
        <f t="shared" si="3"/>
        <v>1</v>
      </c>
      <c r="F209" t="s">
        <v>818</v>
      </c>
      <c r="G209" s="3" t="s">
        <v>819</v>
      </c>
    </row>
    <row r="210" spans="1:7" x14ac:dyDescent="0.25">
      <c r="A210" t="s">
        <v>820</v>
      </c>
      <c r="C210" t="s">
        <v>821</v>
      </c>
      <c r="D210" t="s">
        <v>821</v>
      </c>
      <c r="E210">
        <f t="shared" si="3"/>
        <v>1</v>
      </c>
      <c r="F210" t="s">
        <v>822</v>
      </c>
      <c r="G210" s="3" t="s">
        <v>823</v>
      </c>
    </row>
    <row r="211" spans="1:7" x14ac:dyDescent="0.25">
      <c r="A211" t="s">
        <v>824</v>
      </c>
      <c r="B211" t="s">
        <v>363</v>
      </c>
      <c r="C211" t="s">
        <v>825</v>
      </c>
      <c r="D211" t="s">
        <v>825</v>
      </c>
      <c r="E211">
        <f t="shared" si="3"/>
        <v>1</v>
      </c>
      <c r="F211" t="s">
        <v>826</v>
      </c>
      <c r="G211" s="3" t="s">
        <v>827</v>
      </c>
    </row>
    <row r="212" spans="1:7" x14ac:dyDescent="0.25">
      <c r="A212" t="s">
        <v>828</v>
      </c>
      <c r="B212" t="s">
        <v>363</v>
      </c>
      <c r="C212" t="s">
        <v>829</v>
      </c>
      <c r="D212" t="s">
        <v>829</v>
      </c>
      <c r="E212">
        <f t="shared" si="3"/>
        <v>1</v>
      </c>
      <c r="F212" t="s">
        <v>830</v>
      </c>
      <c r="G212" s="3" t="s">
        <v>831</v>
      </c>
    </row>
    <row r="213" spans="1:7" x14ac:dyDescent="0.25">
      <c r="A213" t="s">
        <v>832</v>
      </c>
      <c r="B213" t="s">
        <v>363</v>
      </c>
      <c r="C213" t="s">
        <v>833</v>
      </c>
      <c r="D213" t="s">
        <v>833</v>
      </c>
      <c r="E213">
        <f t="shared" si="3"/>
        <v>1</v>
      </c>
      <c r="F213" t="s">
        <v>834</v>
      </c>
      <c r="G213" s="3" t="s">
        <v>835</v>
      </c>
    </row>
    <row r="214" spans="1:7" x14ac:dyDescent="0.25">
      <c r="A214" t="s">
        <v>836</v>
      </c>
      <c r="B214" t="s">
        <v>363</v>
      </c>
      <c r="C214" t="s">
        <v>837</v>
      </c>
      <c r="D214" t="s">
        <v>837</v>
      </c>
      <c r="E214">
        <f t="shared" si="3"/>
        <v>1</v>
      </c>
      <c r="F214" t="s">
        <v>838</v>
      </c>
      <c r="G214" s="3" t="s">
        <v>839</v>
      </c>
    </row>
    <row r="215" spans="1:7" x14ac:dyDescent="0.25">
      <c r="A215" t="s">
        <v>840</v>
      </c>
      <c r="B215" t="s">
        <v>349</v>
      </c>
      <c r="C215" t="s">
        <v>841</v>
      </c>
      <c r="D215" t="s">
        <v>841</v>
      </c>
      <c r="E215">
        <f t="shared" si="3"/>
        <v>1</v>
      </c>
      <c r="F215" t="s">
        <v>842</v>
      </c>
      <c r="G215" s="3" t="s">
        <v>843</v>
      </c>
    </row>
    <row r="216" spans="1:7" x14ac:dyDescent="0.25">
      <c r="A216" t="s">
        <v>844</v>
      </c>
      <c r="B216" t="s">
        <v>349</v>
      </c>
      <c r="C216" t="s">
        <v>845</v>
      </c>
      <c r="D216" t="s">
        <v>845</v>
      </c>
      <c r="E216">
        <f t="shared" si="3"/>
        <v>1</v>
      </c>
      <c r="F216" t="s">
        <v>846</v>
      </c>
      <c r="G216" s="3" t="s">
        <v>847</v>
      </c>
    </row>
    <row r="217" spans="1:7" x14ac:dyDescent="0.25">
      <c r="A217" t="s">
        <v>848</v>
      </c>
      <c r="B217" t="s">
        <v>349</v>
      </c>
      <c r="C217" t="s">
        <v>849</v>
      </c>
      <c r="D217" t="s">
        <v>849</v>
      </c>
      <c r="E217">
        <f t="shared" si="3"/>
        <v>1</v>
      </c>
      <c r="F217" t="s">
        <v>850</v>
      </c>
      <c r="G217" s="3" t="s">
        <v>851</v>
      </c>
    </row>
    <row r="218" spans="1:7" x14ac:dyDescent="0.25">
      <c r="A218" t="s">
        <v>852</v>
      </c>
      <c r="B218" t="s">
        <v>349</v>
      </c>
      <c r="C218" t="s">
        <v>853</v>
      </c>
      <c r="D218" t="s">
        <v>853</v>
      </c>
      <c r="E218">
        <f t="shared" si="3"/>
        <v>1</v>
      </c>
      <c r="F218" t="s">
        <v>854</v>
      </c>
      <c r="G218" s="3" t="s">
        <v>855</v>
      </c>
    </row>
    <row r="219" spans="1:7" x14ac:dyDescent="0.25">
      <c r="A219" t="s">
        <v>856</v>
      </c>
      <c r="B219" t="s">
        <v>349</v>
      </c>
      <c r="C219" t="s">
        <v>857</v>
      </c>
      <c r="D219" t="s">
        <v>857</v>
      </c>
      <c r="E219">
        <f t="shared" si="3"/>
        <v>1</v>
      </c>
      <c r="F219" t="s">
        <v>858</v>
      </c>
      <c r="G219" s="3" t="s">
        <v>859</v>
      </c>
    </row>
    <row r="220" spans="1:7" x14ac:dyDescent="0.25">
      <c r="A220" t="s">
        <v>860</v>
      </c>
      <c r="B220" t="s">
        <v>349</v>
      </c>
      <c r="C220" t="s">
        <v>861</v>
      </c>
      <c r="D220" t="s">
        <v>861</v>
      </c>
      <c r="E220">
        <f t="shared" si="3"/>
        <v>1</v>
      </c>
      <c r="F220" t="s">
        <v>862</v>
      </c>
      <c r="G220" s="3" t="s">
        <v>863</v>
      </c>
    </row>
    <row r="221" spans="1:7" x14ac:dyDescent="0.25">
      <c r="A221" t="s">
        <v>864</v>
      </c>
      <c r="B221" t="s">
        <v>349</v>
      </c>
      <c r="C221" t="s">
        <v>865</v>
      </c>
      <c r="D221" t="s">
        <v>865</v>
      </c>
      <c r="E221">
        <f t="shared" si="3"/>
        <v>1</v>
      </c>
      <c r="F221" t="s">
        <v>866</v>
      </c>
      <c r="G221" s="3" t="s">
        <v>867</v>
      </c>
    </row>
    <row r="222" spans="1:7" x14ac:dyDescent="0.25">
      <c r="A222" t="s">
        <v>868</v>
      </c>
      <c r="B222" t="s">
        <v>277</v>
      </c>
      <c r="C222" t="s">
        <v>869</v>
      </c>
      <c r="D222" t="s">
        <v>869</v>
      </c>
      <c r="E222">
        <f t="shared" si="3"/>
        <v>1</v>
      </c>
      <c r="F222" t="s">
        <v>870</v>
      </c>
      <c r="G222" s="3" t="s">
        <v>871</v>
      </c>
    </row>
    <row r="223" spans="1:7" x14ac:dyDescent="0.25">
      <c r="A223" t="s">
        <v>872</v>
      </c>
      <c r="B223" t="s">
        <v>277</v>
      </c>
      <c r="C223" t="s">
        <v>873</v>
      </c>
      <c r="D223" t="s">
        <v>873</v>
      </c>
      <c r="E223">
        <f t="shared" si="3"/>
        <v>1</v>
      </c>
      <c r="F223" t="s">
        <v>874</v>
      </c>
      <c r="G223" s="3" t="s">
        <v>875</v>
      </c>
    </row>
    <row r="224" spans="1:7" x14ac:dyDescent="0.25">
      <c r="A224" t="s">
        <v>876</v>
      </c>
      <c r="B224" t="s">
        <v>41</v>
      </c>
      <c r="C224" t="s">
        <v>877</v>
      </c>
      <c r="D224" t="s">
        <v>877</v>
      </c>
      <c r="E224">
        <f t="shared" si="3"/>
        <v>1</v>
      </c>
      <c r="F224" t="s">
        <v>878</v>
      </c>
      <c r="G224" s="3" t="s">
        <v>879</v>
      </c>
    </row>
    <row r="225" spans="1:7" x14ac:dyDescent="0.25">
      <c r="A225" t="s">
        <v>880</v>
      </c>
      <c r="B225" t="s">
        <v>41</v>
      </c>
      <c r="C225" t="s">
        <v>881</v>
      </c>
      <c r="D225" t="s">
        <v>881</v>
      </c>
      <c r="E225">
        <f t="shared" si="3"/>
        <v>1</v>
      </c>
      <c r="F225" t="s">
        <v>882</v>
      </c>
      <c r="G225" s="3" t="s">
        <v>883</v>
      </c>
    </row>
    <row r="226" spans="1:7" x14ac:dyDescent="0.25">
      <c r="A226" t="s">
        <v>884</v>
      </c>
      <c r="C226" t="s">
        <v>885</v>
      </c>
      <c r="D226" t="s">
        <v>885</v>
      </c>
      <c r="E226">
        <f t="shared" si="3"/>
        <v>1</v>
      </c>
      <c r="F226" t="s">
        <v>886</v>
      </c>
      <c r="G226" s="3" t="s">
        <v>887</v>
      </c>
    </row>
    <row r="227" spans="1:7" x14ac:dyDescent="0.25">
      <c r="A227" t="s">
        <v>888</v>
      </c>
      <c r="B227" t="s">
        <v>92</v>
      </c>
      <c r="C227" t="s">
        <v>889</v>
      </c>
      <c r="D227" t="s">
        <v>889</v>
      </c>
      <c r="E227">
        <f t="shared" si="3"/>
        <v>1</v>
      </c>
      <c r="F227" t="s">
        <v>890</v>
      </c>
      <c r="G227" s="3" t="s">
        <v>891</v>
      </c>
    </row>
    <row r="228" spans="1:7" x14ac:dyDescent="0.25">
      <c r="A228" t="s">
        <v>892</v>
      </c>
      <c r="B228" t="s">
        <v>277</v>
      </c>
      <c r="C228" t="s">
        <v>893</v>
      </c>
      <c r="D228" t="s">
        <v>893</v>
      </c>
      <c r="E228">
        <f t="shared" si="3"/>
        <v>1</v>
      </c>
      <c r="F228" t="s">
        <v>894</v>
      </c>
      <c r="G228" s="3" t="s">
        <v>895</v>
      </c>
    </row>
    <row r="229" spans="1:7" x14ac:dyDescent="0.25">
      <c r="A229" t="s">
        <v>896</v>
      </c>
      <c r="B229" t="s">
        <v>277</v>
      </c>
      <c r="C229" t="s">
        <v>897</v>
      </c>
      <c r="D229" t="s">
        <v>897</v>
      </c>
      <c r="E229">
        <f t="shared" si="3"/>
        <v>1</v>
      </c>
      <c r="F229" t="s">
        <v>898</v>
      </c>
      <c r="G229" s="3" t="s">
        <v>899</v>
      </c>
    </row>
    <row r="230" spans="1:7" x14ac:dyDescent="0.25">
      <c r="A230" t="s">
        <v>900</v>
      </c>
      <c r="B230" t="s">
        <v>277</v>
      </c>
      <c r="C230" t="s">
        <v>901</v>
      </c>
      <c r="D230" t="s">
        <v>901</v>
      </c>
      <c r="E230">
        <f t="shared" si="3"/>
        <v>1</v>
      </c>
      <c r="F230" t="s">
        <v>902</v>
      </c>
      <c r="G230" s="3" t="s">
        <v>903</v>
      </c>
    </row>
    <row r="231" spans="1:7" x14ac:dyDescent="0.25">
      <c r="A231" t="s">
        <v>904</v>
      </c>
      <c r="B231" t="s">
        <v>277</v>
      </c>
      <c r="C231" t="s">
        <v>905</v>
      </c>
      <c r="D231" t="s">
        <v>905</v>
      </c>
      <c r="E231">
        <f t="shared" si="3"/>
        <v>1</v>
      </c>
      <c r="F231" t="s">
        <v>906</v>
      </c>
      <c r="G231" s="3" t="s">
        <v>907</v>
      </c>
    </row>
    <row r="232" spans="1:7" x14ac:dyDescent="0.25">
      <c r="A232" t="s">
        <v>908</v>
      </c>
      <c r="B232" t="s">
        <v>277</v>
      </c>
      <c r="C232" t="s">
        <v>909</v>
      </c>
      <c r="D232" t="s">
        <v>909</v>
      </c>
      <c r="E232">
        <f t="shared" si="3"/>
        <v>1</v>
      </c>
      <c r="F232" t="s">
        <v>910</v>
      </c>
      <c r="G232" s="3" t="s">
        <v>911</v>
      </c>
    </row>
    <row r="233" spans="1:7" x14ac:dyDescent="0.25">
      <c r="A233" t="s">
        <v>912</v>
      </c>
      <c r="B233" t="s">
        <v>913</v>
      </c>
      <c r="C233" t="s">
        <v>914</v>
      </c>
      <c r="D233" t="s">
        <v>914</v>
      </c>
      <c r="E233">
        <f t="shared" si="3"/>
        <v>1</v>
      </c>
      <c r="G233" s="3"/>
    </row>
    <row r="234" spans="1:7" x14ac:dyDescent="0.25">
      <c r="A234" t="s">
        <v>915</v>
      </c>
      <c r="B234" t="s">
        <v>913</v>
      </c>
      <c r="C234" t="s">
        <v>916</v>
      </c>
      <c r="D234" t="s">
        <v>916</v>
      </c>
      <c r="E234">
        <f t="shared" si="3"/>
        <v>1</v>
      </c>
      <c r="G234" s="3"/>
    </row>
    <row r="235" spans="1:7" x14ac:dyDescent="0.25">
      <c r="A235" t="s">
        <v>917</v>
      </c>
      <c r="B235" t="s">
        <v>913</v>
      </c>
      <c r="C235" t="s">
        <v>918</v>
      </c>
      <c r="D235" t="s">
        <v>918</v>
      </c>
      <c r="E235">
        <f t="shared" si="3"/>
        <v>1</v>
      </c>
      <c r="G235" s="3"/>
    </row>
    <row r="236" spans="1:7" x14ac:dyDescent="0.25">
      <c r="A236" t="s">
        <v>919</v>
      </c>
      <c r="B236" t="s">
        <v>920</v>
      </c>
      <c r="C236" t="s">
        <v>921</v>
      </c>
      <c r="D236" t="s">
        <v>921</v>
      </c>
      <c r="E236">
        <f t="shared" si="3"/>
        <v>1</v>
      </c>
      <c r="F236" t="s">
        <v>922</v>
      </c>
      <c r="G236" s="3" t="s">
        <v>923</v>
      </c>
    </row>
    <row r="237" spans="1:7" x14ac:dyDescent="0.25">
      <c r="A237" t="s">
        <v>924</v>
      </c>
      <c r="B237" t="s">
        <v>920</v>
      </c>
      <c r="C237" t="s">
        <v>925</v>
      </c>
      <c r="D237" t="s">
        <v>925</v>
      </c>
      <c r="E237">
        <f t="shared" si="3"/>
        <v>1</v>
      </c>
      <c r="F237" t="s">
        <v>926</v>
      </c>
      <c r="G237" s="3" t="s">
        <v>927</v>
      </c>
    </row>
    <row r="238" spans="1:7" x14ac:dyDescent="0.25">
      <c r="A238" t="s">
        <v>928</v>
      </c>
      <c r="B238" t="s">
        <v>920</v>
      </c>
      <c r="C238" t="s">
        <v>929</v>
      </c>
      <c r="D238" t="s">
        <v>929</v>
      </c>
      <c r="E238">
        <f t="shared" si="3"/>
        <v>1</v>
      </c>
      <c r="F238" t="s">
        <v>930</v>
      </c>
      <c r="G238" s="3" t="s">
        <v>931</v>
      </c>
    </row>
    <row r="239" spans="1:7" x14ac:dyDescent="0.25">
      <c r="A239" t="s">
        <v>932</v>
      </c>
      <c r="B239" t="s">
        <v>933</v>
      </c>
      <c r="C239" t="s">
        <v>934</v>
      </c>
      <c r="D239" t="s">
        <v>934</v>
      </c>
      <c r="E239">
        <f t="shared" si="3"/>
        <v>1</v>
      </c>
      <c r="F239" t="s">
        <v>935</v>
      </c>
      <c r="G239" s="3" t="s">
        <v>936</v>
      </c>
    </row>
    <row r="240" spans="1:7" x14ac:dyDescent="0.25">
      <c r="A240" t="s">
        <v>937</v>
      </c>
      <c r="B240" t="s">
        <v>277</v>
      </c>
      <c r="C240" t="s">
        <v>938</v>
      </c>
      <c r="D240" t="s">
        <v>938</v>
      </c>
      <c r="E240">
        <f t="shared" si="3"/>
        <v>1</v>
      </c>
      <c r="F240" t="s">
        <v>939</v>
      </c>
      <c r="G240" s="3" t="s">
        <v>940</v>
      </c>
    </row>
    <row r="241" spans="1:7" x14ac:dyDescent="0.25">
      <c r="A241" t="s">
        <v>941</v>
      </c>
      <c r="B241" t="s">
        <v>277</v>
      </c>
      <c r="C241" t="s">
        <v>942</v>
      </c>
      <c r="D241" t="s">
        <v>942</v>
      </c>
      <c r="E241">
        <f t="shared" si="3"/>
        <v>1</v>
      </c>
      <c r="F241" t="s">
        <v>943</v>
      </c>
      <c r="G241" s="3" t="s">
        <v>944</v>
      </c>
    </row>
    <row r="242" spans="1:7" x14ac:dyDescent="0.25">
      <c r="A242" t="s">
        <v>945</v>
      </c>
      <c r="B242" t="s">
        <v>277</v>
      </c>
      <c r="C242" t="s">
        <v>946</v>
      </c>
      <c r="D242" t="s">
        <v>946</v>
      </c>
      <c r="E242">
        <f t="shared" si="3"/>
        <v>1</v>
      </c>
      <c r="F242" t="s">
        <v>947</v>
      </c>
      <c r="G242" s="3" t="s">
        <v>948</v>
      </c>
    </row>
    <row r="243" spans="1:7" x14ac:dyDescent="0.25">
      <c r="A243" t="s">
        <v>949</v>
      </c>
      <c r="B243" t="s">
        <v>277</v>
      </c>
      <c r="C243" t="s">
        <v>950</v>
      </c>
      <c r="D243" t="s">
        <v>950</v>
      </c>
      <c r="E243">
        <f t="shared" si="3"/>
        <v>1</v>
      </c>
      <c r="F243" t="s">
        <v>951</v>
      </c>
      <c r="G243" s="3" t="s">
        <v>952</v>
      </c>
    </row>
    <row r="244" spans="1:7" x14ac:dyDescent="0.25">
      <c r="A244" t="s">
        <v>953</v>
      </c>
      <c r="B244" t="s">
        <v>277</v>
      </c>
      <c r="C244" t="s">
        <v>954</v>
      </c>
      <c r="D244" t="s">
        <v>954</v>
      </c>
      <c r="E244">
        <f t="shared" si="3"/>
        <v>1</v>
      </c>
      <c r="F244" t="s">
        <v>955</v>
      </c>
      <c r="G244" s="3" t="s">
        <v>956</v>
      </c>
    </row>
    <row r="245" spans="1:7" x14ac:dyDescent="0.25">
      <c r="A245" t="s">
        <v>957</v>
      </c>
      <c r="B245" t="s">
        <v>933</v>
      </c>
      <c r="C245" t="s">
        <v>958</v>
      </c>
      <c r="D245" t="s">
        <v>958</v>
      </c>
      <c r="E245">
        <f t="shared" si="3"/>
        <v>1</v>
      </c>
      <c r="F245" t="s">
        <v>959</v>
      </c>
      <c r="G245" s="3" t="s">
        <v>960</v>
      </c>
    </row>
    <row r="246" spans="1:7" x14ac:dyDescent="0.25">
      <c r="A246" t="s">
        <v>961</v>
      </c>
      <c r="B246" t="s">
        <v>933</v>
      </c>
      <c r="C246" t="s">
        <v>962</v>
      </c>
      <c r="D246" t="s">
        <v>962</v>
      </c>
      <c r="E246">
        <f t="shared" si="3"/>
        <v>1</v>
      </c>
      <c r="F246" t="s">
        <v>963</v>
      </c>
      <c r="G246" s="3" t="s">
        <v>964</v>
      </c>
    </row>
    <row r="247" spans="1:7" x14ac:dyDescent="0.25">
      <c r="A247" t="s">
        <v>965</v>
      </c>
      <c r="B247" t="s">
        <v>92</v>
      </c>
      <c r="C247" t="s">
        <v>966</v>
      </c>
      <c r="D247" t="s">
        <v>966</v>
      </c>
      <c r="E247">
        <f t="shared" si="3"/>
        <v>1</v>
      </c>
      <c r="F247" t="s">
        <v>967</v>
      </c>
      <c r="G247" s="3" t="s">
        <v>968</v>
      </c>
    </row>
    <row r="248" spans="1:7" x14ac:dyDescent="0.25">
      <c r="A248" t="s">
        <v>969</v>
      </c>
      <c r="B248" t="s">
        <v>92</v>
      </c>
      <c r="C248" t="s">
        <v>970</v>
      </c>
      <c r="D248" t="s">
        <v>970</v>
      </c>
      <c r="E248">
        <f t="shared" si="3"/>
        <v>1</v>
      </c>
      <c r="F248" t="s">
        <v>971</v>
      </c>
      <c r="G248" s="3" t="s">
        <v>972</v>
      </c>
    </row>
    <row r="249" spans="1:7" x14ac:dyDescent="0.25">
      <c r="A249" t="s">
        <v>973</v>
      </c>
      <c r="B249" t="s">
        <v>933</v>
      </c>
      <c r="C249" t="s">
        <v>974</v>
      </c>
      <c r="D249" t="s">
        <v>974</v>
      </c>
      <c r="E249">
        <f t="shared" si="3"/>
        <v>1</v>
      </c>
      <c r="G249" s="3"/>
    </row>
    <row r="250" spans="1:7" x14ac:dyDescent="0.25">
      <c r="A250" t="s">
        <v>975</v>
      </c>
      <c r="B250" t="s">
        <v>92</v>
      </c>
      <c r="C250" t="s">
        <v>976</v>
      </c>
      <c r="D250" t="s">
        <v>976</v>
      </c>
      <c r="E250">
        <f t="shared" si="3"/>
        <v>1</v>
      </c>
      <c r="F250" t="s">
        <v>977</v>
      </c>
      <c r="G250" s="3" t="s">
        <v>978</v>
      </c>
    </row>
    <row r="251" spans="1:7" x14ac:dyDescent="0.25">
      <c r="A251" t="s">
        <v>979</v>
      </c>
      <c r="B251" t="s">
        <v>277</v>
      </c>
      <c r="C251" t="s">
        <v>980</v>
      </c>
      <c r="D251" t="s">
        <v>980</v>
      </c>
      <c r="E251">
        <f t="shared" si="3"/>
        <v>1</v>
      </c>
      <c r="F251" t="s">
        <v>981</v>
      </c>
      <c r="G251" s="3" t="s">
        <v>982</v>
      </c>
    </row>
    <row r="252" spans="1:7" x14ac:dyDescent="0.25">
      <c r="A252" t="s">
        <v>983</v>
      </c>
      <c r="B252" t="s">
        <v>277</v>
      </c>
      <c r="C252" t="s">
        <v>984</v>
      </c>
      <c r="D252" t="s">
        <v>984</v>
      </c>
      <c r="E252">
        <f t="shared" si="3"/>
        <v>1</v>
      </c>
      <c r="F252" t="s">
        <v>985</v>
      </c>
      <c r="G252" s="3" t="s">
        <v>986</v>
      </c>
    </row>
    <row r="253" spans="1:7" x14ac:dyDescent="0.25">
      <c r="A253" t="s">
        <v>987</v>
      </c>
      <c r="B253" t="s">
        <v>277</v>
      </c>
      <c r="C253" t="s">
        <v>988</v>
      </c>
      <c r="D253" t="s">
        <v>988</v>
      </c>
      <c r="E253">
        <f t="shared" si="3"/>
        <v>1</v>
      </c>
      <c r="F253" t="s">
        <v>989</v>
      </c>
      <c r="G253" s="3" t="s">
        <v>990</v>
      </c>
    </row>
    <row r="254" spans="1:7" x14ac:dyDescent="0.25">
      <c r="A254" t="s">
        <v>991</v>
      </c>
      <c r="B254" t="s">
        <v>933</v>
      </c>
      <c r="C254" t="s">
        <v>992</v>
      </c>
      <c r="D254" t="s">
        <v>992</v>
      </c>
      <c r="E254">
        <f t="shared" si="3"/>
        <v>1</v>
      </c>
      <c r="F254" t="s">
        <v>993</v>
      </c>
      <c r="G254" s="3" t="s">
        <v>994</v>
      </c>
    </row>
    <row r="255" spans="1:7" x14ac:dyDescent="0.25">
      <c r="A255" t="s">
        <v>995</v>
      </c>
      <c r="B255" t="s">
        <v>933</v>
      </c>
      <c r="C255" t="s">
        <v>996</v>
      </c>
      <c r="D255" t="s">
        <v>996</v>
      </c>
      <c r="E255">
        <f t="shared" si="3"/>
        <v>1</v>
      </c>
      <c r="F255" t="s">
        <v>997</v>
      </c>
      <c r="G255" s="3" t="s">
        <v>998</v>
      </c>
    </row>
    <row r="256" spans="1:7" x14ac:dyDescent="0.25">
      <c r="A256" t="s">
        <v>999</v>
      </c>
      <c r="B256" t="s">
        <v>933</v>
      </c>
      <c r="C256" t="s">
        <v>1000</v>
      </c>
      <c r="D256" t="s">
        <v>1000</v>
      </c>
      <c r="E256">
        <f t="shared" si="3"/>
        <v>1</v>
      </c>
      <c r="F256" t="s">
        <v>1001</v>
      </c>
      <c r="G256" s="3" t="s">
        <v>1002</v>
      </c>
    </row>
    <row r="257" spans="1:7" x14ac:dyDescent="0.25">
      <c r="A257" t="s">
        <v>1003</v>
      </c>
      <c r="B257" t="s">
        <v>277</v>
      </c>
      <c r="C257" t="s">
        <v>1004</v>
      </c>
      <c r="D257" t="s">
        <v>1004</v>
      </c>
      <c r="E257">
        <f t="shared" si="3"/>
        <v>1</v>
      </c>
      <c r="F257" t="s">
        <v>1005</v>
      </c>
      <c r="G257" s="3" t="s">
        <v>1006</v>
      </c>
    </row>
    <row r="258" spans="1:7" x14ac:dyDescent="0.25">
      <c r="A258" t="s">
        <v>1007</v>
      </c>
      <c r="B258" t="s">
        <v>277</v>
      </c>
      <c r="C258" t="s">
        <v>1008</v>
      </c>
      <c r="D258" t="s">
        <v>1008</v>
      </c>
      <c r="E258">
        <f t="shared" si="3"/>
        <v>1</v>
      </c>
      <c r="F258" t="s">
        <v>1009</v>
      </c>
      <c r="G258" s="3" t="s">
        <v>1010</v>
      </c>
    </row>
    <row r="259" spans="1:7" x14ac:dyDescent="0.25">
      <c r="A259" t="s">
        <v>1011</v>
      </c>
      <c r="B259" t="s">
        <v>277</v>
      </c>
      <c r="C259" t="s">
        <v>1012</v>
      </c>
      <c r="D259" t="s">
        <v>1012</v>
      </c>
      <c r="E259">
        <f t="shared" ref="E259:E322" si="4">IF(C259=D259,1,0)</f>
        <v>1</v>
      </c>
      <c r="F259" t="s">
        <v>1013</v>
      </c>
      <c r="G259" s="3" t="s">
        <v>1014</v>
      </c>
    </row>
    <row r="260" spans="1:7" x14ac:dyDescent="0.25">
      <c r="A260" t="s">
        <v>1015</v>
      </c>
      <c r="B260" t="s">
        <v>277</v>
      </c>
      <c r="C260" t="s">
        <v>1016</v>
      </c>
      <c r="D260" t="s">
        <v>1016</v>
      </c>
      <c r="E260">
        <f t="shared" si="4"/>
        <v>1</v>
      </c>
      <c r="F260" t="s">
        <v>1017</v>
      </c>
      <c r="G260" s="3" t="s">
        <v>1018</v>
      </c>
    </row>
    <row r="261" spans="1:7" x14ac:dyDescent="0.25">
      <c r="A261" t="s">
        <v>1019</v>
      </c>
      <c r="B261" t="s">
        <v>277</v>
      </c>
      <c r="C261" t="s">
        <v>1020</v>
      </c>
      <c r="D261" t="s">
        <v>1020</v>
      </c>
      <c r="E261">
        <f t="shared" si="4"/>
        <v>1</v>
      </c>
      <c r="F261" t="s">
        <v>1021</v>
      </c>
      <c r="G261" s="3" t="s">
        <v>1022</v>
      </c>
    </row>
    <row r="262" spans="1:7" x14ac:dyDescent="0.25">
      <c r="A262" t="s">
        <v>1023</v>
      </c>
      <c r="B262" t="s">
        <v>277</v>
      </c>
      <c r="C262" t="s">
        <v>1024</v>
      </c>
      <c r="D262" t="s">
        <v>1024</v>
      </c>
      <c r="E262">
        <f t="shared" si="4"/>
        <v>1</v>
      </c>
      <c r="F262" t="s">
        <v>1025</v>
      </c>
      <c r="G262" s="3" t="s">
        <v>1026</v>
      </c>
    </row>
    <row r="263" spans="1:7" x14ac:dyDescent="0.25">
      <c r="A263" t="s">
        <v>1027</v>
      </c>
      <c r="B263" t="s">
        <v>277</v>
      </c>
      <c r="C263" t="s">
        <v>1028</v>
      </c>
      <c r="D263" t="s">
        <v>1028</v>
      </c>
      <c r="E263">
        <f t="shared" si="4"/>
        <v>1</v>
      </c>
      <c r="F263" t="s">
        <v>1029</v>
      </c>
      <c r="G263" s="3" t="s">
        <v>1030</v>
      </c>
    </row>
    <row r="264" spans="1:7" x14ac:dyDescent="0.25">
      <c r="A264" t="s">
        <v>1031</v>
      </c>
      <c r="B264" t="s">
        <v>1032</v>
      </c>
      <c r="C264" t="s">
        <v>1033</v>
      </c>
      <c r="D264" t="s">
        <v>1033</v>
      </c>
      <c r="E264">
        <f t="shared" si="4"/>
        <v>1</v>
      </c>
      <c r="F264" t="s">
        <v>1034</v>
      </c>
      <c r="G264" s="3" t="s">
        <v>1035</v>
      </c>
    </row>
    <row r="265" spans="1:7" x14ac:dyDescent="0.25">
      <c r="A265" t="s">
        <v>1036</v>
      </c>
      <c r="B265" t="s">
        <v>559</v>
      </c>
      <c r="C265" t="s">
        <v>1037</v>
      </c>
      <c r="D265" t="s">
        <v>1037</v>
      </c>
      <c r="E265">
        <f t="shared" si="4"/>
        <v>1</v>
      </c>
      <c r="F265" t="s">
        <v>1038</v>
      </c>
      <c r="G265" s="3" t="s">
        <v>1039</v>
      </c>
    </row>
    <row r="266" spans="1:7" x14ac:dyDescent="0.25">
      <c r="A266" t="s">
        <v>1040</v>
      </c>
      <c r="B266" t="s">
        <v>1041</v>
      </c>
      <c r="C266" t="s">
        <v>1042</v>
      </c>
      <c r="D266" t="s">
        <v>1042</v>
      </c>
      <c r="E266">
        <f t="shared" si="4"/>
        <v>1</v>
      </c>
      <c r="F266" t="s">
        <v>1043</v>
      </c>
      <c r="G266" s="3" t="s">
        <v>1044</v>
      </c>
    </row>
    <row r="267" spans="1:7" x14ac:dyDescent="0.25">
      <c r="A267" t="s">
        <v>1045</v>
      </c>
      <c r="B267" t="s">
        <v>92</v>
      </c>
      <c r="C267" t="s">
        <v>1046</v>
      </c>
      <c r="D267" t="s">
        <v>1046</v>
      </c>
      <c r="E267">
        <f t="shared" si="4"/>
        <v>1</v>
      </c>
      <c r="F267" t="s">
        <v>1047</v>
      </c>
      <c r="G267" s="3" t="s">
        <v>1048</v>
      </c>
    </row>
    <row r="268" spans="1:7" x14ac:dyDescent="0.25">
      <c r="A268" t="s">
        <v>1049</v>
      </c>
      <c r="B268" t="s">
        <v>1050</v>
      </c>
      <c r="C268" t="s">
        <v>1051</v>
      </c>
      <c r="D268" t="s">
        <v>1051</v>
      </c>
      <c r="E268">
        <f t="shared" si="4"/>
        <v>1</v>
      </c>
      <c r="F268" t="s">
        <v>1052</v>
      </c>
      <c r="G268" s="3" t="s">
        <v>1053</v>
      </c>
    </row>
    <row r="269" spans="1:7" x14ac:dyDescent="0.25">
      <c r="A269" t="s">
        <v>1054</v>
      </c>
      <c r="B269" t="s">
        <v>277</v>
      </c>
      <c r="C269" t="s">
        <v>1055</v>
      </c>
      <c r="D269" t="s">
        <v>1055</v>
      </c>
      <c r="E269">
        <f t="shared" si="4"/>
        <v>1</v>
      </c>
      <c r="F269" t="s">
        <v>1056</v>
      </c>
      <c r="G269" s="3" t="s">
        <v>1057</v>
      </c>
    </row>
    <row r="270" spans="1:7" x14ac:dyDescent="0.25">
      <c r="A270" t="s">
        <v>1058</v>
      </c>
      <c r="B270" t="s">
        <v>277</v>
      </c>
      <c r="C270" t="s">
        <v>1059</v>
      </c>
      <c r="D270" t="s">
        <v>1059</v>
      </c>
      <c r="E270">
        <f t="shared" si="4"/>
        <v>1</v>
      </c>
      <c r="F270" t="s">
        <v>1060</v>
      </c>
      <c r="G270" s="3" t="s">
        <v>1061</v>
      </c>
    </row>
    <row r="271" spans="1:7" x14ac:dyDescent="0.25">
      <c r="A271" t="s">
        <v>1062</v>
      </c>
      <c r="B271" t="s">
        <v>277</v>
      </c>
      <c r="C271" t="s">
        <v>1063</v>
      </c>
      <c r="D271" t="s">
        <v>1063</v>
      </c>
      <c r="E271">
        <f t="shared" si="4"/>
        <v>1</v>
      </c>
      <c r="F271" t="s">
        <v>1064</v>
      </c>
      <c r="G271" s="3" t="s">
        <v>1065</v>
      </c>
    </row>
    <row r="272" spans="1:7" x14ac:dyDescent="0.25">
      <c r="A272" t="s">
        <v>1066</v>
      </c>
      <c r="B272" t="s">
        <v>277</v>
      </c>
      <c r="C272" t="s">
        <v>1067</v>
      </c>
      <c r="D272" t="s">
        <v>1067</v>
      </c>
      <c r="E272">
        <f t="shared" si="4"/>
        <v>1</v>
      </c>
      <c r="F272" t="s">
        <v>1068</v>
      </c>
      <c r="G272" s="3" t="s">
        <v>1069</v>
      </c>
    </row>
    <row r="273" spans="1:7" x14ac:dyDescent="0.25">
      <c r="A273" t="s">
        <v>1070</v>
      </c>
      <c r="B273" t="s">
        <v>277</v>
      </c>
      <c r="C273" t="s">
        <v>1071</v>
      </c>
      <c r="D273" t="s">
        <v>1071</v>
      </c>
      <c r="E273">
        <f t="shared" si="4"/>
        <v>1</v>
      </c>
      <c r="F273" t="s">
        <v>1072</v>
      </c>
      <c r="G273" s="3" t="s">
        <v>1073</v>
      </c>
    </row>
    <row r="274" spans="1:7" x14ac:dyDescent="0.25">
      <c r="A274" t="s">
        <v>1074</v>
      </c>
      <c r="B274" t="s">
        <v>277</v>
      </c>
      <c r="C274" t="s">
        <v>1075</v>
      </c>
      <c r="D274" t="s">
        <v>1075</v>
      </c>
      <c r="E274">
        <f t="shared" si="4"/>
        <v>1</v>
      </c>
      <c r="F274" t="s">
        <v>1076</v>
      </c>
      <c r="G274" s="3" t="s">
        <v>1077</v>
      </c>
    </row>
    <row r="275" spans="1:7" x14ac:dyDescent="0.25">
      <c r="A275" t="s">
        <v>1078</v>
      </c>
      <c r="B275" t="s">
        <v>41</v>
      </c>
      <c r="C275" t="s">
        <v>1079</v>
      </c>
      <c r="D275" t="s">
        <v>1079</v>
      </c>
      <c r="E275">
        <f t="shared" si="4"/>
        <v>1</v>
      </c>
      <c r="F275" t="s">
        <v>1080</v>
      </c>
      <c r="G275" s="3" t="s">
        <v>1081</v>
      </c>
    </row>
    <row r="276" spans="1:7" x14ac:dyDescent="0.25">
      <c r="A276" t="s">
        <v>1082</v>
      </c>
      <c r="B276" t="s">
        <v>498</v>
      </c>
      <c r="C276" t="s">
        <v>1083</v>
      </c>
      <c r="D276" t="s">
        <v>1083</v>
      </c>
      <c r="E276">
        <f t="shared" si="4"/>
        <v>1</v>
      </c>
      <c r="F276" t="s">
        <v>1084</v>
      </c>
      <c r="G276" s="3" t="s">
        <v>1085</v>
      </c>
    </row>
    <row r="277" spans="1:7" x14ac:dyDescent="0.25">
      <c r="A277" t="s">
        <v>1086</v>
      </c>
      <c r="B277" t="s">
        <v>277</v>
      </c>
      <c r="C277" t="s">
        <v>1087</v>
      </c>
      <c r="D277" t="s">
        <v>1087</v>
      </c>
      <c r="E277">
        <f t="shared" si="4"/>
        <v>1</v>
      </c>
      <c r="F277" t="s">
        <v>1088</v>
      </c>
      <c r="G277" s="3" t="s">
        <v>1089</v>
      </c>
    </row>
    <row r="278" spans="1:7" x14ac:dyDescent="0.25">
      <c r="A278" t="s">
        <v>1090</v>
      </c>
      <c r="B278" t="s">
        <v>392</v>
      </c>
      <c r="C278" t="s">
        <v>1091</v>
      </c>
      <c r="D278" t="s">
        <v>1091</v>
      </c>
      <c r="E278">
        <f t="shared" si="4"/>
        <v>1</v>
      </c>
      <c r="F278" t="s">
        <v>1092</v>
      </c>
      <c r="G278" s="3" t="s">
        <v>1093</v>
      </c>
    </row>
    <row r="279" spans="1:7" x14ac:dyDescent="0.25">
      <c r="A279" t="s">
        <v>1094</v>
      </c>
      <c r="B279" t="s">
        <v>277</v>
      </c>
      <c r="C279" t="s">
        <v>1095</v>
      </c>
      <c r="D279" t="s">
        <v>1095</v>
      </c>
      <c r="E279">
        <f t="shared" si="4"/>
        <v>1</v>
      </c>
      <c r="F279" t="s">
        <v>1096</v>
      </c>
      <c r="G279" s="3" t="s">
        <v>1097</v>
      </c>
    </row>
    <row r="280" spans="1:7" x14ac:dyDescent="0.25">
      <c r="A280" t="s">
        <v>1098</v>
      </c>
      <c r="C280" t="s">
        <v>1099</v>
      </c>
      <c r="D280" t="s">
        <v>1099</v>
      </c>
      <c r="E280">
        <f t="shared" si="4"/>
        <v>1</v>
      </c>
      <c r="F280" t="s">
        <v>1100</v>
      </c>
      <c r="G280" s="3" t="s">
        <v>1101</v>
      </c>
    </row>
    <row r="281" spans="1:7" x14ac:dyDescent="0.25">
      <c r="A281" t="s">
        <v>1102</v>
      </c>
      <c r="C281" t="s">
        <v>1103</v>
      </c>
      <c r="D281" t="s">
        <v>1103</v>
      </c>
      <c r="E281">
        <f t="shared" si="4"/>
        <v>1</v>
      </c>
      <c r="F281" t="s">
        <v>1104</v>
      </c>
      <c r="G281" s="3" t="s">
        <v>1105</v>
      </c>
    </row>
    <row r="282" spans="1:7" x14ac:dyDescent="0.25">
      <c r="A282" t="s">
        <v>1106</v>
      </c>
      <c r="C282" t="s">
        <v>1107</v>
      </c>
      <c r="D282" t="s">
        <v>1107</v>
      </c>
      <c r="E282">
        <f t="shared" si="4"/>
        <v>1</v>
      </c>
      <c r="F282" t="s">
        <v>1108</v>
      </c>
      <c r="G282" s="3" t="s">
        <v>1109</v>
      </c>
    </row>
    <row r="283" spans="1:7" x14ac:dyDescent="0.25">
      <c r="A283" t="s">
        <v>1110</v>
      </c>
      <c r="C283" t="s">
        <v>1111</v>
      </c>
      <c r="D283" t="s">
        <v>1111</v>
      </c>
      <c r="E283">
        <f t="shared" si="4"/>
        <v>1</v>
      </c>
      <c r="F283" t="s">
        <v>1112</v>
      </c>
      <c r="G283" s="3" t="s">
        <v>1113</v>
      </c>
    </row>
    <row r="284" spans="1:7" x14ac:dyDescent="0.25">
      <c r="A284" t="s">
        <v>1114</v>
      </c>
      <c r="B284" t="s">
        <v>277</v>
      </c>
      <c r="C284" t="s">
        <v>1115</v>
      </c>
      <c r="D284" t="s">
        <v>1115</v>
      </c>
      <c r="E284">
        <f t="shared" si="4"/>
        <v>1</v>
      </c>
      <c r="F284" t="s">
        <v>1116</v>
      </c>
      <c r="G284" s="3" t="s">
        <v>1117</v>
      </c>
    </row>
    <row r="285" spans="1:7" x14ac:dyDescent="0.25">
      <c r="A285" t="s">
        <v>1118</v>
      </c>
      <c r="B285" t="s">
        <v>277</v>
      </c>
      <c r="C285" t="s">
        <v>1119</v>
      </c>
      <c r="D285" t="s">
        <v>1119</v>
      </c>
      <c r="E285">
        <f t="shared" si="4"/>
        <v>1</v>
      </c>
      <c r="F285" t="s">
        <v>1120</v>
      </c>
      <c r="G285" s="3" t="s">
        <v>1121</v>
      </c>
    </row>
    <row r="286" spans="1:7" x14ac:dyDescent="0.25">
      <c r="A286" t="s">
        <v>1122</v>
      </c>
      <c r="B286" t="s">
        <v>354</v>
      </c>
      <c r="C286" t="s">
        <v>1123</v>
      </c>
      <c r="D286" t="s">
        <v>1123</v>
      </c>
      <c r="E286">
        <f t="shared" si="4"/>
        <v>1</v>
      </c>
      <c r="F286" t="s">
        <v>1124</v>
      </c>
      <c r="G286" s="3" t="s">
        <v>1125</v>
      </c>
    </row>
    <row r="287" spans="1:7" x14ac:dyDescent="0.25">
      <c r="A287" t="s">
        <v>1126</v>
      </c>
      <c r="B287" t="s">
        <v>354</v>
      </c>
      <c r="C287" t="s">
        <v>1127</v>
      </c>
      <c r="D287" t="s">
        <v>1127</v>
      </c>
      <c r="E287">
        <f t="shared" si="4"/>
        <v>1</v>
      </c>
      <c r="F287" t="s">
        <v>1128</v>
      </c>
      <c r="G287" s="3" t="s">
        <v>1129</v>
      </c>
    </row>
    <row r="288" spans="1:7" x14ac:dyDescent="0.25">
      <c r="A288" t="s">
        <v>1130</v>
      </c>
      <c r="B288" t="s">
        <v>277</v>
      </c>
      <c r="C288" t="s">
        <v>1131</v>
      </c>
      <c r="D288" t="s">
        <v>1131</v>
      </c>
      <c r="E288">
        <f t="shared" si="4"/>
        <v>1</v>
      </c>
      <c r="F288" t="s">
        <v>1132</v>
      </c>
      <c r="G288" s="3" t="s">
        <v>1133</v>
      </c>
    </row>
    <row r="289" spans="1:7" x14ac:dyDescent="0.25">
      <c r="A289" t="s">
        <v>1134</v>
      </c>
      <c r="B289" t="s">
        <v>277</v>
      </c>
      <c r="C289" t="s">
        <v>1135</v>
      </c>
      <c r="D289" t="s">
        <v>1135</v>
      </c>
      <c r="E289">
        <f t="shared" si="4"/>
        <v>1</v>
      </c>
      <c r="F289" t="s">
        <v>1136</v>
      </c>
      <c r="G289" s="3" t="s">
        <v>1137</v>
      </c>
    </row>
    <row r="290" spans="1:7" x14ac:dyDescent="0.25">
      <c r="A290" t="s">
        <v>1138</v>
      </c>
      <c r="B290" t="s">
        <v>277</v>
      </c>
      <c r="C290" t="s">
        <v>1139</v>
      </c>
      <c r="D290" t="s">
        <v>1139</v>
      </c>
      <c r="E290">
        <f t="shared" si="4"/>
        <v>1</v>
      </c>
      <c r="F290" t="s">
        <v>1140</v>
      </c>
      <c r="G290" s="3" t="s">
        <v>1141</v>
      </c>
    </row>
    <row r="291" spans="1:7" x14ac:dyDescent="0.25">
      <c r="A291" t="s">
        <v>1142</v>
      </c>
      <c r="B291" t="s">
        <v>933</v>
      </c>
      <c r="C291" t="s">
        <v>1143</v>
      </c>
      <c r="D291" t="s">
        <v>1143</v>
      </c>
      <c r="E291">
        <f t="shared" si="4"/>
        <v>1</v>
      </c>
      <c r="F291" t="s">
        <v>1144</v>
      </c>
      <c r="G291" s="3" t="s">
        <v>1145</v>
      </c>
    </row>
    <row r="292" spans="1:7" x14ac:dyDescent="0.25">
      <c r="A292" t="s">
        <v>1146</v>
      </c>
      <c r="B292" t="s">
        <v>1147</v>
      </c>
      <c r="C292" t="s">
        <v>1148</v>
      </c>
      <c r="D292" t="s">
        <v>1148</v>
      </c>
      <c r="E292">
        <f t="shared" si="4"/>
        <v>1</v>
      </c>
      <c r="F292" t="s">
        <v>1149</v>
      </c>
      <c r="G292" s="3" t="s">
        <v>1150</v>
      </c>
    </row>
    <row r="293" spans="1:7" x14ac:dyDescent="0.25">
      <c r="A293" t="s">
        <v>1151</v>
      </c>
      <c r="B293" t="s">
        <v>1152</v>
      </c>
      <c r="C293" t="s">
        <v>1153</v>
      </c>
      <c r="D293" t="s">
        <v>1153</v>
      </c>
      <c r="E293">
        <f t="shared" si="4"/>
        <v>1</v>
      </c>
      <c r="F293" t="s">
        <v>1154</v>
      </c>
      <c r="G293" s="3" t="s">
        <v>1155</v>
      </c>
    </row>
    <row r="294" spans="1:7" x14ac:dyDescent="0.25">
      <c r="A294" t="s">
        <v>1156</v>
      </c>
      <c r="B294" t="s">
        <v>354</v>
      </c>
      <c r="C294" t="s">
        <v>1157</v>
      </c>
      <c r="D294" t="s">
        <v>1157</v>
      </c>
      <c r="E294">
        <f t="shared" si="4"/>
        <v>1</v>
      </c>
      <c r="F294" t="s">
        <v>1158</v>
      </c>
      <c r="G294" s="3" t="s">
        <v>1159</v>
      </c>
    </row>
    <row r="295" spans="1:7" x14ac:dyDescent="0.25">
      <c r="A295" t="s">
        <v>1160</v>
      </c>
      <c r="B295" t="s">
        <v>933</v>
      </c>
      <c r="C295" t="s">
        <v>1161</v>
      </c>
      <c r="D295" t="s">
        <v>1161</v>
      </c>
      <c r="E295">
        <f t="shared" si="4"/>
        <v>1</v>
      </c>
      <c r="F295" t="s">
        <v>1162</v>
      </c>
      <c r="G295" s="3" t="s">
        <v>1163</v>
      </c>
    </row>
    <row r="296" spans="1:7" x14ac:dyDescent="0.25">
      <c r="A296" t="s">
        <v>1164</v>
      </c>
      <c r="B296" t="s">
        <v>354</v>
      </c>
      <c r="C296" t="s">
        <v>1165</v>
      </c>
      <c r="D296" t="s">
        <v>1165</v>
      </c>
      <c r="E296">
        <f t="shared" si="4"/>
        <v>1</v>
      </c>
      <c r="F296" t="s">
        <v>1166</v>
      </c>
      <c r="G296" s="3" t="s">
        <v>1167</v>
      </c>
    </row>
    <row r="297" spans="1:7" x14ac:dyDescent="0.25">
      <c r="A297" t="s">
        <v>1168</v>
      </c>
      <c r="B297" t="s">
        <v>277</v>
      </c>
      <c r="C297" t="s">
        <v>1169</v>
      </c>
      <c r="D297" t="s">
        <v>1169</v>
      </c>
      <c r="E297">
        <f t="shared" si="4"/>
        <v>1</v>
      </c>
      <c r="F297" t="s">
        <v>1170</v>
      </c>
      <c r="G297" s="3" t="s">
        <v>1171</v>
      </c>
    </row>
    <row r="298" spans="1:7" x14ac:dyDescent="0.25">
      <c r="A298" t="s">
        <v>1172</v>
      </c>
      <c r="B298" t="s">
        <v>33</v>
      </c>
      <c r="C298" t="s">
        <v>1173</v>
      </c>
      <c r="D298" t="s">
        <v>1173</v>
      </c>
      <c r="E298">
        <f t="shared" si="4"/>
        <v>1</v>
      </c>
      <c r="F298" t="s">
        <v>1174</v>
      </c>
      <c r="G298" s="3" t="s">
        <v>1175</v>
      </c>
    </row>
    <row r="299" spans="1:7" x14ac:dyDescent="0.25">
      <c r="A299" t="s">
        <v>1176</v>
      </c>
      <c r="B299" t="s">
        <v>559</v>
      </c>
      <c r="C299" t="s">
        <v>1177</v>
      </c>
      <c r="D299" t="s">
        <v>1177</v>
      </c>
      <c r="E299">
        <f t="shared" si="4"/>
        <v>1</v>
      </c>
      <c r="F299" t="s">
        <v>1178</v>
      </c>
      <c r="G299" s="3" t="s">
        <v>1179</v>
      </c>
    </row>
    <row r="300" spans="1:7" x14ac:dyDescent="0.25">
      <c r="A300" t="s">
        <v>1180</v>
      </c>
      <c r="B300" t="s">
        <v>277</v>
      </c>
      <c r="C300" t="s">
        <v>1181</v>
      </c>
      <c r="D300" t="s">
        <v>1181</v>
      </c>
      <c r="E300">
        <f t="shared" si="4"/>
        <v>1</v>
      </c>
      <c r="F300" t="s">
        <v>1182</v>
      </c>
      <c r="G300" s="3" t="s">
        <v>1183</v>
      </c>
    </row>
    <row r="301" spans="1:7" x14ac:dyDescent="0.25">
      <c r="A301" t="s">
        <v>1184</v>
      </c>
      <c r="B301" t="s">
        <v>559</v>
      </c>
      <c r="C301" t="s">
        <v>1185</v>
      </c>
      <c r="D301" t="s">
        <v>1185</v>
      </c>
      <c r="E301">
        <f t="shared" si="4"/>
        <v>1</v>
      </c>
      <c r="F301" t="s">
        <v>1186</v>
      </c>
      <c r="G301" s="3" t="s">
        <v>1187</v>
      </c>
    </row>
    <row r="302" spans="1:7" x14ac:dyDescent="0.25">
      <c r="A302" t="s">
        <v>1188</v>
      </c>
      <c r="B302" t="s">
        <v>33</v>
      </c>
      <c r="C302" t="s">
        <v>1189</v>
      </c>
      <c r="D302" t="s">
        <v>1189</v>
      </c>
      <c r="E302">
        <f t="shared" si="4"/>
        <v>1</v>
      </c>
      <c r="F302" t="s">
        <v>1190</v>
      </c>
      <c r="G302" s="3" t="s">
        <v>1191</v>
      </c>
    </row>
    <row r="303" spans="1:7" x14ac:dyDescent="0.25">
      <c r="A303" t="s">
        <v>1192</v>
      </c>
      <c r="B303" t="s">
        <v>933</v>
      </c>
      <c r="C303" t="s">
        <v>1193</v>
      </c>
      <c r="D303" t="s">
        <v>1193</v>
      </c>
      <c r="E303">
        <f t="shared" si="4"/>
        <v>1</v>
      </c>
      <c r="F303" t="s">
        <v>1194</v>
      </c>
      <c r="G303" s="3" t="s">
        <v>1195</v>
      </c>
    </row>
    <row r="304" spans="1:7" x14ac:dyDescent="0.25">
      <c r="A304" t="s">
        <v>1196</v>
      </c>
      <c r="B304" t="s">
        <v>933</v>
      </c>
      <c r="C304" t="s">
        <v>1197</v>
      </c>
      <c r="D304" t="s">
        <v>1197</v>
      </c>
      <c r="E304">
        <f t="shared" si="4"/>
        <v>1</v>
      </c>
      <c r="F304" t="s">
        <v>1198</v>
      </c>
      <c r="G304" s="3" t="s">
        <v>1199</v>
      </c>
    </row>
    <row r="305" spans="1:7" x14ac:dyDescent="0.25">
      <c r="A305" t="s">
        <v>1200</v>
      </c>
      <c r="B305" t="s">
        <v>354</v>
      </c>
      <c r="C305" t="s">
        <v>1201</v>
      </c>
      <c r="D305" t="s">
        <v>1201</v>
      </c>
      <c r="E305">
        <f t="shared" si="4"/>
        <v>1</v>
      </c>
      <c r="F305" t="s">
        <v>1202</v>
      </c>
      <c r="G305" s="3" t="s">
        <v>1203</v>
      </c>
    </row>
    <row r="306" spans="1:7" x14ac:dyDescent="0.25">
      <c r="A306" t="s">
        <v>1204</v>
      </c>
      <c r="B306" t="s">
        <v>354</v>
      </c>
      <c r="C306" t="s">
        <v>1205</v>
      </c>
      <c r="D306" t="s">
        <v>1205</v>
      </c>
      <c r="E306">
        <f t="shared" si="4"/>
        <v>1</v>
      </c>
      <c r="F306" t="s">
        <v>1206</v>
      </c>
      <c r="G306" s="3" t="s">
        <v>1207</v>
      </c>
    </row>
    <row r="307" spans="1:7" x14ac:dyDescent="0.25">
      <c r="A307" t="s">
        <v>1208</v>
      </c>
      <c r="B307" t="s">
        <v>920</v>
      </c>
      <c r="C307" t="s">
        <v>1209</v>
      </c>
      <c r="D307" t="s">
        <v>1209</v>
      </c>
      <c r="E307">
        <f t="shared" si="4"/>
        <v>1</v>
      </c>
      <c r="F307" t="s">
        <v>1210</v>
      </c>
      <c r="G307" s="3" t="s">
        <v>1211</v>
      </c>
    </row>
    <row r="308" spans="1:7" x14ac:dyDescent="0.25">
      <c r="A308" t="s">
        <v>1212</v>
      </c>
      <c r="B308" t="s">
        <v>1050</v>
      </c>
      <c r="C308" t="s">
        <v>1213</v>
      </c>
      <c r="D308" t="s">
        <v>1213</v>
      </c>
      <c r="E308">
        <f t="shared" si="4"/>
        <v>1</v>
      </c>
      <c r="F308" t="s">
        <v>1214</v>
      </c>
      <c r="G308" s="3" t="s">
        <v>1212</v>
      </c>
    </row>
    <row r="309" spans="1:7" x14ac:dyDescent="0.25">
      <c r="A309" t="s">
        <v>1215</v>
      </c>
      <c r="B309" t="s">
        <v>933</v>
      </c>
      <c r="C309" t="s">
        <v>1216</v>
      </c>
      <c r="D309" t="s">
        <v>1216</v>
      </c>
      <c r="E309">
        <f t="shared" si="4"/>
        <v>1</v>
      </c>
      <c r="F309" t="s">
        <v>1217</v>
      </c>
      <c r="G309" s="3" t="s">
        <v>1218</v>
      </c>
    </row>
    <row r="310" spans="1:7" x14ac:dyDescent="0.25">
      <c r="A310" t="s">
        <v>1219</v>
      </c>
      <c r="B310" t="s">
        <v>354</v>
      </c>
      <c r="C310" t="s">
        <v>1220</v>
      </c>
      <c r="D310" t="s">
        <v>1220</v>
      </c>
      <c r="E310">
        <f t="shared" si="4"/>
        <v>1</v>
      </c>
      <c r="F310" t="s">
        <v>1221</v>
      </c>
      <c r="G310" s="3" t="s">
        <v>1222</v>
      </c>
    </row>
    <row r="311" spans="1:7" x14ac:dyDescent="0.25">
      <c r="A311" t="s">
        <v>1223</v>
      </c>
      <c r="B311" t="s">
        <v>392</v>
      </c>
      <c r="C311" t="s">
        <v>1224</v>
      </c>
      <c r="D311" t="s">
        <v>1224</v>
      </c>
      <c r="E311">
        <f t="shared" si="4"/>
        <v>1</v>
      </c>
      <c r="F311" t="s">
        <v>1225</v>
      </c>
      <c r="G311" s="3" t="s">
        <v>1226</v>
      </c>
    </row>
    <row r="312" spans="1:7" x14ac:dyDescent="0.25">
      <c r="A312" t="s">
        <v>1227</v>
      </c>
      <c r="B312" t="s">
        <v>1228</v>
      </c>
      <c r="C312" t="s">
        <v>1229</v>
      </c>
      <c r="D312" t="s">
        <v>1229</v>
      </c>
      <c r="E312">
        <f t="shared" si="4"/>
        <v>1</v>
      </c>
      <c r="F312" t="s">
        <v>1230</v>
      </c>
      <c r="G312" s="3" t="s">
        <v>1231</v>
      </c>
    </row>
    <row r="313" spans="1:7" x14ac:dyDescent="0.25">
      <c r="A313" t="s">
        <v>1232</v>
      </c>
      <c r="B313" t="s">
        <v>1228</v>
      </c>
      <c r="C313" t="s">
        <v>1233</v>
      </c>
      <c r="D313" t="s">
        <v>1233</v>
      </c>
      <c r="E313">
        <f t="shared" si="4"/>
        <v>1</v>
      </c>
      <c r="F313" t="s">
        <v>1234</v>
      </c>
      <c r="G313" s="3" t="s">
        <v>1235</v>
      </c>
    </row>
    <row r="314" spans="1:7" x14ac:dyDescent="0.25">
      <c r="A314" s="5" t="s">
        <v>1236</v>
      </c>
      <c r="B314" s="5" t="s">
        <v>1228</v>
      </c>
      <c r="C314" s="5" t="s">
        <v>1237</v>
      </c>
      <c r="D314" s="5" t="s">
        <v>1237</v>
      </c>
      <c r="E314">
        <f t="shared" si="4"/>
        <v>1</v>
      </c>
      <c r="F314" t="s">
        <v>1238</v>
      </c>
      <c r="G314" s="3"/>
    </row>
    <row r="315" spans="1:7" x14ac:dyDescent="0.25">
      <c r="A315" t="s">
        <v>1239</v>
      </c>
      <c r="B315" t="s">
        <v>1228</v>
      </c>
      <c r="C315" t="s">
        <v>1240</v>
      </c>
      <c r="D315" t="s">
        <v>1240</v>
      </c>
      <c r="E315">
        <f t="shared" si="4"/>
        <v>1</v>
      </c>
      <c r="F315" t="s">
        <v>1241</v>
      </c>
      <c r="G315" s="3" t="s">
        <v>1242</v>
      </c>
    </row>
    <row r="316" spans="1:7" x14ac:dyDescent="0.25">
      <c r="A316" t="s">
        <v>1243</v>
      </c>
      <c r="B316" t="s">
        <v>1228</v>
      </c>
      <c r="C316" t="s">
        <v>1244</v>
      </c>
      <c r="D316" t="s">
        <v>1244</v>
      </c>
      <c r="E316">
        <f t="shared" si="4"/>
        <v>1</v>
      </c>
      <c r="F316" t="s">
        <v>1245</v>
      </c>
      <c r="G316" s="3" t="s">
        <v>1246</v>
      </c>
    </row>
    <row r="317" spans="1:7" x14ac:dyDescent="0.25">
      <c r="A317" t="s">
        <v>1247</v>
      </c>
      <c r="B317" t="s">
        <v>1228</v>
      </c>
      <c r="C317" t="s">
        <v>1248</v>
      </c>
      <c r="D317" t="s">
        <v>1248</v>
      </c>
      <c r="E317">
        <f t="shared" si="4"/>
        <v>1</v>
      </c>
      <c r="F317" t="s">
        <v>1249</v>
      </c>
      <c r="G317" s="3" t="s">
        <v>1250</v>
      </c>
    </row>
    <row r="318" spans="1:7" x14ac:dyDescent="0.25">
      <c r="A318" t="s">
        <v>1251</v>
      </c>
      <c r="B318" t="s">
        <v>1032</v>
      </c>
      <c r="C318" t="s">
        <v>1252</v>
      </c>
      <c r="D318" t="s">
        <v>1252</v>
      </c>
      <c r="E318">
        <f t="shared" si="4"/>
        <v>1</v>
      </c>
      <c r="F318" t="s">
        <v>1253</v>
      </c>
      <c r="G318" s="3" t="s">
        <v>1254</v>
      </c>
    </row>
    <row r="319" spans="1:7" x14ac:dyDescent="0.25">
      <c r="A319" t="s">
        <v>1255</v>
      </c>
      <c r="B319" t="s">
        <v>354</v>
      </c>
      <c r="C319" t="s">
        <v>1256</v>
      </c>
      <c r="D319" t="s">
        <v>1256</v>
      </c>
      <c r="E319">
        <f t="shared" si="4"/>
        <v>1</v>
      </c>
      <c r="F319" t="s">
        <v>1257</v>
      </c>
      <c r="G319" s="3" t="s">
        <v>1258</v>
      </c>
    </row>
    <row r="320" spans="1:7" x14ac:dyDescent="0.25">
      <c r="A320" t="s">
        <v>1259</v>
      </c>
      <c r="B320" t="s">
        <v>354</v>
      </c>
      <c r="C320" t="s">
        <v>1260</v>
      </c>
      <c r="D320" t="s">
        <v>1260</v>
      </c>
      <c r="E320">
        <f t="shared" si="4"/>
        <v>1</v>
      </c>
      <c r="F320" t="s">
        <v>1261</v>
      </c>
      <c r="G320" s="3" t="s">
        <v>1262</v>
      </c>
    </row>
    <row r="321" spans="1:7" x14ac:dyDescent="0.25">
      <c r="A321" s="5" t="s">
        <v>1263</v>
      </c>
      <c r="B321" s="5" t="s">
        <v>354</v>
      </c>
      <c r="C321" s="5" t="s">
        <v>1264</v>
      </c>
      <c r="D321" s="5" t="s">
        <v>1264</v>
      </c>
      <c r="E321">
        <f t="shared" si="4"/>
        <v>1</v>
      </c>
      <c r="F321" t="s">
        <v>1265</v>
      </c>
      <c r="G321" s="3"/>
    </row>
    <row r="322" spans="1:7" x14ac:dyDescent="0.25">
      <c r="A322" t="s">
        <v>1266</v>
      </c>
      <c r="B322" t="s">
        <v>33</v>
      </c>
      <c r="C322" t="s">
        <v>1267</v>
      </c>
      <c r="D322" t="s">
        <v>1267</v>
      </c>
      <c r="E322">
        <f t="shared" si="4"/>
        <v>1</v>
      </c>
      <c r="F322" t="s">
        <v>1268</v>
      </c>
      <c r="G322" s="3" t="s">
        <v>1269</v>
      </c>
    </row>
    <row r="323" spans="1:7" x14ac:dyDescent="0.25">
      <c r="A323" t="s">
        <v>1270</v>
      </c>
      <c r="B323" t="s">
        <v>277</v>
      </c>
      <c r="C323" t="s">
        <v>1271</v>
      </c>
      <c r="D323" t="s">
        <v>1271</v>
      </c>
      <c r="E323">
        <f t="shared" ref="E323:E368" si="5">IF(C323=D323,1,0)</f>
        <v>1</v>
      </c>
      <c r="F323" t="s">
        <v>1272</v>
      </c>
      <c r="G323" s="3" t="s">
        <v>1273</v>
      </c>
    </row>
    <row r="324" spans="1:7" x14ac:dyDescent="0.25">
      <c r="A324" t="s">
        <v>1274</v>
      </c>
      <c r="B324" t="s">
        <v>392</v>
      </c>
      <c r="C324" t="s">
        <v>1275</v>
      </c>
      <c r="D324" t="s">
        <v>1275</v>
      </c>
      <c r="E324">
        <f t="shared" si="5"/>
        <v>1</v>
      </c>
      <c r="F324" t="s">
        <v>1276</v>
      </c>
      <c r="G324" s="3" t="s">
        <v>1277</v>
      </c>
    </row>
    <row r="325" spans="1:7" x14ac:dyDescent="0.25">
      <c r="A325" t="s">
        <v>1278</v>
      </c>
      <c r="B325" t="s">
        <v>277</v>
      </c>
      <c r="C325" t="s">
        <v>1279</v>
      </c>
      <c r="D325" t="s">
        <v>1279</v>
      </c>
      <c r="E325">
        <f t="shared" si="5"/>
        <v>1</v>
      </c>
      <c r="F325" t="s">
        <v>1280</v>
      </c>
      <c r="G325" s="3" t="s">
        <v>1281</v>
      </c>
    </row>
    <row r="326" spans="1:7" x14ac:dyDescent="0.25">
      <c r="A326" t="s">
        <v>1282</v>
      </c>
      <c r="B326" t="s">
        <v>392</v>
      </c>
      <c r="C326" t="s">
        <v>1283</v>
      </c>
      <c r="D326" t="s">
        <v>1283</v>
      </c>
      <c r="E326">
        <f t="shared" si="5"/>
        <v>1</v>
      </c>
      <c r="F326" t="s">
        <v>1284</v>
      </c>
      <c r="G326" s="3" t="s">
        <v>1285</v>
      </c>
    </row>
    <row r="327" spans="1:7" x14ac:dyDescent="0.25">
      <c r="A327" t="s">
        <v>1286</v>
      </c>
      <c r="B327" t="s">
        <v>33</v>
      </c>
      <c r="C327" t="s">
        <v>1287</v>
      </c>
      <c r="D327" t="s">
        <v>1287</v>
      </c>
      <c r="E327">
        <f t="shared" si="5"/>
        <v>1</v>
      </c>
      <c r="F327" t="s">
        <v>1288</v>
      </c>
      <c r="G327" s="3" t="s">
        <v>1289</v>
      </c>
    </row>
    <row r="328" spans="1:7" x14ac:dyDescent="0.25">
      <c r="A328" t="s">
        <v>1290</v>
      </c>
      <c r="B328" t="s">
        <v>33</v>
      </c>
      <c r="C328" t="s">
        <v>1291</v>
      </c>
      <c r="D328" t="s">
        <v>1291</v>
      </c>
      <c r="E328">
        <f t="shared" si="5"/>
        <v>1</v>
      </c>
      <c r="F328" t="s">
        <v>1292</v>
      </c>
      <c r="G328" s="3" t="s">
        <v>1293</v>
      </c>
    </row>
    <row r="329" spans="1:7" x14ac:dyDescent="0.25">
      <c r="A329" t="s">
        <v>1294</v>
      </c>
      <c r="B329" t="s">
        <v>33</v>
      </c>
      <c r="C329" t="s">
        <v>1295</v>
      </c>
      <c r="D329" t="s">
        <v>1295</v>
      </c>
      <c r="E329">
        <f t="shared" si="5"/>
        <v>1</v>
      </c>
      <c r="F329" t="s">
        <v>1296</v>
      </c>
      <c r="G329" s="3" t="s">
        <v>1297</v>
      </c>
    </row>
    <row r="330" spans="1:7" x14ac:dyDescent="0.25">
      <c r="A330" t="s">
        <v>1298</v>
      </c>
      <c r="B330" t="s">
        <v>354</v>
      </c>
      <c r="C330" t="s">
        <v>1299</v>
      </c>
      <c r="D330" t="s">
        <v>1299</v>
      </c>
      <c r="E330">
        <f t="shared" si="5"/>
        <v>1</v>
      </c>
      <c r="F330" t="s">
        <v>1300</v>
      </c>
      <c r="G330" s="3" t="s">
        <v>1301</v>
      </c>
    </row>
    <row r="331" spans="1:7" x14ac:dyDescent="0.25">
      <c r="A331" t="s">
        <v>1302</v>
      </c>
      <c r="B331" t="s">
        <v>354</v>
      </c>
      <c r="C331" t="s">
        <v>1303</v>
      </c>
      <c r="D331" t="s">
        <v>1303</v>
      </c>
      <c r="E331">
        <f t="shared" si="5"/>
        <v>1</v>
      </c>
      <c r="F331" t="s">
        <v>1304</v>
      </c>
      <c r="G331" s="3" t="s">
        <v>1305</v>
      </c>
    </row>
    <row r="332" spans="1:7" x14ac:dyDescent="0.25">
      <c r="A332" t="s">
        <v>1306</v>
      </c>
      <c r="B332" t="s">
        <v>354</v>
      </c>
      <c r="C332" t="s">
        <v>1307</v>
      </c>
      <c r="D332" t="s">
        <v>1307</v>
      </c>
      <c r="E332">
        <f t="shared" si="5"/>
        <v>1</v>
      </c>
      <c r="F332" t="s">
        <v>1308</v>
      </c>
      <c r="G332" s="3" t="s">
        <v>1309</v>
      </c>
    </row>
    <row r="333" spans="1:7" x14ac:dyDescent="0.25">
      <c r="A333" t="s">
        <v>1310</v>
      </c>
      <c r="B333" t="s">
        <v>392</v>
      </c>
      <c r="C333" t="s">
        <v>1311</v>
      </c>
      <c r="D333" t="s">
        <v>1311</v>
      </c>
      <c r="E333">
        <f t="shared" si="5"/>
        <v>1</v>
      </c>
      <c r="F333" t="s">
        <v>1312</v>
      </c>
      <c r="G333" s="3" t="s">
        <v>1313</v>
      </c>
    </row>
    <row r="334" spans="1:7" x14ac:dyDescent="0.25">
      <c r="A334" t="s">
        <v>1314</v>
      </c>
      <c r="B334" t="s">
        <v>392</v>
      </c>
      <c r="C334" t="s">
        <v>1315</v>
      </c>
      <c r="D334" t="s">
        <v>1315</v>
      </c>
      <c r="E334">
        <f t="shared" si="5"/>
        <v>1</v>
      </c>
      <c r="F334" t="s">
        <v>1316</v>
      </c>
      <c r="G334" s="3" t="s">
        <v>1317</v>
      </c>
    </row>
    <row r="335" spans="1:7" x14ac:dyDescent="0.25">
      <c r="A335" t="s">
        <v>1318</v>
      </c>
      <c r="B335" t="s">
        <v>354</v>
      </c>
      <c r="C335" t="s">
        <v>1319</v>
      </c>
      <c r="D335" t="s">
        <v>1319</v>
      </c>
      <c r="E335">
        <f t="shared" si="5"/>
        <v>1</v>
      </c>
      <c r="F335" t="s">
        <v>1320</v>
      </c>
      <c r="G335" s="3" t="s">
        <v>1321</v>
      </c>
    </row>
    <row r="336" spans="1:7" x14ac:dyDescent="0.25">
      <c r="A336" t="s">
        <v>1322</v>
      </c>
      <c r="B336" t="s">
        <v>392</v>
      </c>
      <c r="C336" t="s">
        <v>1323</v>
      </c>
      <c r="D336" t="s">
        <v>1323</v>
      </c>
      <c r="E336">
        <f t="shared" si="5"/>
        <v>1</v>
      </c>
      <c r="F336" t="s">
        <v>1324</v>
      </c>
      <c r="G336" s="3" t="s">
        <v>1325</v>
      </c>
    </row>
    <row r="337" spans="1:7" x14ac:dyDescent="0.25">
      <c r="A337" t="s">
        <v>1326</v>
      </c>
      <c r="B337" t="s">
        <v>392</v>
      </c>
      <c r="C337" t="s">
        <v>1327</v>
      </c>
      <c r="D337" t="s">
        <v>1327</v>
      </c>
      <c r="E337">
        <f t="shared" si="5"/>
        <v>1</v>
      </c>
      <c r="F337" t="s">
        <v>1328</v>
      </c>
      <c r="G337" s="3" t="s">
        <v>1329</v>
      </c>
    </row>
    <row r="338" spans="1:7" x14ac:dyDescent="0.25">
      <c r="A338" t="s">
        <v>1330</v>
      </c>
      <c r="B338" t="s">
        <v>354</v>
      </c>
      <c r="C338" t="s">
        <v>1331</v>
      </c>
      <c r="D338" t="s">
        <v>1331</v>
      </c>
      <c r="E338">
        <f t="shared" si="5"/>
        <v>1</v>
      </c>
      <c r="F338" t="s">
        <v>1332</v>
      </c>
      <c r="G338" s="3" t="s">
        <v>1333</v>
      </c>
    </row>
    <row r="339" spans="1:7" x14ac:dyDescent="0.25">
      <c r="A339" t="s">
        <v>1334</v>
      </c>
      <c r="B339" t="s">
        <v>392</v>
      </c>
      <c r="C339" t="s">
        <v>1335</v>
      </c>
      <c r="D339" t="s">
        <v>1335</v>
      </c>
      <c r="E339">
        <f t="shared" si="5"/>
        <v>1</v>
      </c>
      <c r="F339" t="s">
        <v>1336</v>
      </c>
      <c r="G339" s="3" t="s">
        <v>1337</v>
      </c>
    </row>
    <row r="340" spans="1:7" x14ac:dyDescent="0.25">
      <c r="A340" t="s">
        <v>1338</v>
      </c>
      <c r="B340" t="s">
        <v>392</v>
      </c>
      <c r="C340" t="s">
        <v>1339</v>
      </c>
      <c r="D340" t="s">
        <v>1339</v>
      </c>
      <c r="E340">
        <f t="shared" si="5"/>
        <v>1</v>
      </c>
      <c r="F340" t="s">
        <v>1340</v>
      </c>
      <c r="G340" s="3" t="s">
        <v>1341</v>
      </c>
    </row>
    <row r="341" spans="1:7" x14ac:dyDescent="0.25">
      <c r="A341" t="s">
        <v>1342</v>
      </c>
      <c r="B341" t="s">
        <v>354</v>
      </c>
      <c r="C341" t="s">
        <v>1343</v>
      </c>
      <c r="D341" t="s">
        <v>1343</v>
      </c>
      <c r="E341">
        <f t="shared" si="5"/>
        <v>1</v>
      </c>
      <c r="F341" t="s">
        <v>1344</v>
      </c>
      <c r="G341" s="3" t="s">
        <v>1345</v>
      </c>
    </row>
    <row r="342" spans="1:7" x14ac:dyDescent="0.25">
      <c r="A342" t="s">
        <v>1346</v>
      </c>
      <c r="B342" t="s">
        <v>33</v>
      </c>
      <c r="C342" t="s">
        <v>1347</v>
      </c>
      <c r="D342" t="s">
        <v>1347</v>
      </c>
      <c r="E342">
        <f t="shared" si="5"/>
        <v>1</v>
      </c>
      <c r="F342" t="s">
        <v>1348</v>
      </c>
      <c r="G342" s="3" t="s">
        <v>1349</v>
      </c>
    </row>
    <row r="343" spans="1:7" x14ac:dyDescent="0.25">
      <c r="A343" t="s">
        <v>1350</v>
      </c>
      <c r="B343" t="s">
        <v>392</v>
      </c>
      <c r="C343" t="s">
        <v>1351</v>
      </c>
      <c r="D343" t="s">
        <v>1351</v>
      </c>
      <c r="E343">
        <f t="shared" si="5"/>
        <v>1</v>
      </c>
      <c r="F343" t="s">
        <v>1352</v>
      </c>
      <c r="G343" s="3" t="s">
        <v>1353</v>
      </c>
    </row>
    <row r="344" spans="1:7" x14ac:dyDescent="0.25">
      <c r="A344" t="s">
        <v>1354</v>
      </c>
      <c r="B344" t="s">
        <v>354</v>
      </c>
      <c r="C344" t="s">
        <v>1355</v>
      </c>
      <c r="D344" t="s">
        <v>1355</v>
      </c>
      <c r="E344">
        <f t="shared" si="5"/>
        <v>1</v>
      </c>
      <c r="F344" t="s">
        <v>1356</v>
      </c>
      <c r="G344" s="3" t="s">
        <v>1357</v>
      </c>
    </row>
    <row r="345" spans="1:7" x14ac:dyDescent="0.25">
      <c r="A345" t="s">
        <v>1358</v>
      </c>
      <c r="B345" t="s">
        <v>33</v>
      </c>
      <c r="C345" t="s">
        <v>1359</v>
      </c>
      <c r="D345" t="s">
        <v>1359</v>
      </c>
      <c r="E345">
        <f t="shared" si="5"/>
        <v>1</v>
      </c>
      <c r="F345" t="s">
        <v>1360</v>
      </c>
      <c r="G345" s="3" t="s">
        <v>1361</v>
      </c>
    </row>
    <row r="346" spans="1:7" x14ac:dyDescent="0.25">
      <c r="A346" t="s">
        <v>1362</v>
      </c>
      <c r="B346" t="s">
        <v>354</v>
      </c>
      <c r="C346" t="s">
        <v>1363</v>
      </c>
      <c r="D346" t="s">
        <v>1363</v>
      </c>
      <c r="E346">
        <f t="shared" si="5"/>
        <v>1</v>
      </c>
      <c r="F346" t="s">
        <v>1364</v>
      </c>
      <c r="G346" s="3" t="s">
        <v>1365</v>
      </c>
    </row>
    <row r="347" spans="1:7" x14ac:dyDescent="0.25">
      <c r="A347" t="s">
        <v>1366</v>
      </c>
      <c r="B347" t="s">
        <v>33</v>
      </c>
      <c r="C347" t="s">
        <v>1367</v>
      </c>
      <c r="D347" t="s">
        <v>1367</v>
      </c>
      <c r="E347">
        <f t="shared" si="5"/>
        <v>1</v>
      </c>
      <c r="F347" t="s">
        <v>1368</v>
      </c>
      <c r="G347" s="3" t="s">
        <v>1369</v>
      </c>
    </row>
    <row r="348" spans="1:7" x14ac:dyDescent="0.25">
      <c r="A348" t="s">
        <v>1370</v>
      </c>
      <c r="B348" t="s">
        <v>392</v>
      </c>
      <c r="C348" t="s">
        <v>1371</v>
      </c>
      <c r="D348" t="s">
        <v>1371</v>
      </c>
      <c r="E348">
        <f t="shared" si="5"/>
        <v>1</v>
      </c>
      <c r="F348" t="s">
        <v>1372</v>
      </c>
      <c r="G348" s="3" t="s">
        <v>1373</v>
      </c>
    </row>
    <row r="349" spans="1:7" x14ac:dyDescent="0.25">
      <c r="A349" t="s">
        <v>1374</v>
      </c>
      <c r="B349" t="s">
        <v>392</v>
      </c>
      <c r="C349" t="s">
        <v>1375</v>
      </c>
      <c r="D349" t="s">
        <v>1375</v>
      </c>
      <c r="E349">
        <f t="shared" si="5"/>
        <v>1</v>
      </c>
      <c r="F349" t="s">
        <v>1376</v>
      </c>
      <c r="G349" s="3" t="s">
        <v>1377</v>
      </c>
    </row>
    <row r="350" spans="1:7" x14ac:dyDescent="0.25">
      <c r="A350" t="s">
        <v>1378</v>
      </c>
      <c r="B350" t="s">
        <v>392</v>
      </c>
      <c r="C350" t="s">
        <v>1379</v>
      </c>
      <c r="D350" t="s">
        <v>1379</v>
      </c>
      <c r="E350">
        <f t="shared" si="5"/>
        <v>1</v>
      </c>
      <c r="F350" t="s">
        <v>1380</v>
      </c>
      <c r="G350" s="3" t="s">
        <v>1381</v>
      </c>
    </row>
    <row r="351" spans="1:7" x14ac:dyDescent="0.25">
      <c r="A351" t="s">
        <v>1382</v>
      </c>
      <c r="B351" t="s">
        <v>392</v>
      </c>
      <c r="C351" t="s">
        <v>1383</v>
      </c>
      <c r="D351" t="s">
        <v>1383</v>
      </c>
      <c r="E351">
        <f t="shared" si="5"/>
        <v>1</v>
      </c>
      <c r="F351" t="s">
        <v>1384</v>
      </c>
      <c r="G351" s="3" t="s">
        <v>1385</v>
      </c>
    </row>
    <row r="352" spans="1:7" x14ac:dyDescent="0.25">
      <c r="A352" t="s">
        <v>1386</v>
      </c>
      <c r="B352" t="s">
        <v>392</v>
      </c>
      <c r="C352" t="s">
        <v>1387</v>
      </c>
      <c r="D352" t="s">
        <v>1387</v>
      </c>
      <c r="E352">
        <f t="shared" si="5"/>
        <v>1</v>
      </c>
      <c r="F352" t="s">
        <v>1388</v>
      </c>
      <c r="G352" s="3" t="s">
        <v>1389</v>
      </c>
    </row>
    <row r="353" spans="1:7" x14ac:dyDescent="0.25">
      <c r="A353" t="s">
        <v>1390</v>
      </c>
      <c r="B353" t="s">
        <v>330</v>
      </c>
      <c r="C353" t="s">
        <v>1391</v>
      </c>
      <c r="D353" t="s">
        <v>1391</v>
      </c>
      <c r="E353">
        <f t="shared" si="5"/>
        <v>1</v>
      </c>
      <c r="F353" t="s">
        <v>1392</v>
      </c>
      <c r="G353" s="3" t="s">
        <v>1393</v>
      </c>
    </row>
    <row r="354" spans="1:7" x14ac:dyDescent="0.25">
      <c r="A354" t="s">
        <v>1394</v>
      </c>
      <c r="B354" t="s">
        <v>58</v>
      </c>
      <c r="C354" t="s">
        <v>1395</v>
      </c>
      <c r="D354" t="s">
        <v>1395</v>
      </c>
      <c r="E354">
        <f t="shared" si="5"/>
        <v>1</v>
      </c>
      <c r="F354" t="s">
        <v>1396</v>
      </c>
      <c r="G354" s="3" t="s">
        <v>1397</v>
      </c>
    </row>
    <row r="355" spans="1:7" x14ac:dyDescent="0.25">
      <c r="A355" t="s">
        <v>1398</v>
      </c>
      <c r="B355" t="s">
        <v>58</v>
      </c>
      <c r="C355" t="s">
        <v>1399</v>
      </c>
      <c r="D355" t="s">
        <v>1399</v>
      </c>
      <c r="E355">
        <f t="shared" si="5"/>
        <v>1</v>
      </c>
      <c r="F355" t="s">
        <v>1400</v>
      </c>
      <c r="G355" s="3" t="s">
        <v>1401</v>
      </c>
    </row>
    <row r="356" spans="1:7" x14ac:dyDescent="0.25">
      <c r="A356" t="s">
        <v>1402</v>
      </c>
      <c r="B356" t="s">
        <v>58</v>
      </c>
      <c r="C356" t="s">
        <v>1403</v>
      </c>
      <c r="D356" t="s">
        <v>1403</v>
      </c>
      <c r="E356">
        <f t="shared" si="5"/>
        <v>1</v>
      </c>
      <c r="F356" t="s">
        <v>1404</v>
      </c>
      <c r="G356" s="3" t="s">
        <v>1405</v>
      </c>
    </row>
    <row r="357" spans="1:7" x14ac:dyDescent="0.25">
      <c r="A357" t="s">
        <v>1406</v>
      </c>
      <c r="B357" t="s">
        <v>58</v>
      </c>
      <c r="C357" t="s">
        <v>1407</v>
      </c>
      <c r="D357" t="s">
        <v>1407</v>
      </c>
      <c r="E357">
        <f t="shared" si="5"/>
        <v>1</v>
      </c>
      <c r="F357" t="s">
        <v>1408</v>
      </c>
      <c r="G357" s="3" t="s">
        <v>1409</v>
      </c>
    </row>
    <row r="358" spans="1:7" x14ac:dyDescent="0.25">
      <c r="A358" t="s">
        <v>1410</v>
      </c>
      <c r="B358" t="s">
        <v>277</v>
      </c>
      <c r="C358" t="s">
        <v>1411</v>
      </c>
      <c r="D358" t="s">
        <v>1411</v>
      </c>
      <c r="E358">
        <f t="shared" si="5"/>
        <v>1</v>
      </c>
      <c r="F358" t="s">
        <v>1412</v>
      </c>
      <c r="G358" s="3" t="s">
        <v>1413</v>
      </c>
    </row>
    <row r="359" spans="1:7" x14ac:dyDescent="0.25">
      <c r="A359" t="s">
        <v>1414</v>
      </c>
      <c r="B359" t="s">
        <v>559</v>
      </c>
      <c r="C359" t="s">
        <v>1415</v>
      </c>
      <c r="D359" t="s">
        <v>1415</v>
      </c>
      <c r="E359">
        <f t="shared" si="5"/>
        <v>1</v>
      </c>
      <c r="F359" t="s">
        <v>1416</v>
      </c>
      <c r="G359" s="3" t="s">
        <v>1417</v>
      </c>
    </row>
    <row r="360" spans="1:7" x14ac:dyDescent="0.25">
      <c r="A360" t="s">
        <v>1418</v>
      </c>
      <c r="B360" t="s">
        <v>277</v>
      </c>
      <c r="C360" t="s">
        <v>1419</v>
      </c>
      <c r="D360" t="s">
        <v>1419</v>
      </c>
      <c r="E360">
        <f t="shared" si="5"/>
        <v>1</v>
      </c>
      <c r="F360" t="s">
        <v>1420</v>
      </c>
      <c r="G360" s="3" t="s">
        <v>1421</v>
      </c>
    </row>
    <row r="361" spans="1:7" x14ac:dyDescent="0.25">
      <c r="A361" t="s">
        <v>1422</v>
      </c>
      <c r="B361" t="s">
        <v>1041</v>
      </c>
      <c r="C361" t="s">
        <v>1423</v>
      </c>
      <c r="D361" t="s">
        <v>1423</v>
      </c>
      <c r="E361">
        <f t="shared" si="5"/>
        <v>1</v>
      </c>
      <c r="F361" t="s">
        <v>1424</v>
      </c>
      <c r="G361" s="3" t="s">
        <v>1425</v>
      </c>
    </row>
    <row r="362" spans="1:7" x14ac:dyDescent="0.25">
      <c r="A362" t="s">
        <v>1426</v>
      </c>
      <c r="C362" t="s">
        <v>1427</v>
      </c>
      <c r="D362" t="s">
        <v>1427</v>
      </c>
      <c r="E362">
        <f t="shared" si="5"/>
        <v>1</v>
      </c>
      <c r="G362" s="3"/>
    </row>
    <row r="363" spans="1:7" x14ac:dyDescent="0.25">
      <c r="A363" t="s">
        <v>1428</v>
      </c>
      <c r="B363" t="s">
        <v>392</v>
      </c>
      <c r="C363" t="s">
        <v>1429</v>
      </c>
      <c r="D363" t="s">
        <v>1429</v>
      </c>
      <c r="E363">
        <f t="shared" si="5"/>
        <v>1</v>
      </c>
      <c r="F363" t="s">
        <v>1430</v>
      </c>
      <c r="G363" s="3" t="s">
        <v>1431</v>
      </c>
    </row>
    <row r="364" spans="1:7" x14ac:dyDescent="0.25">
      <c r="A364" t="s">
        <v>1432</v>
      </c>
      <c r="B364" t="s">
        <v>933</v>
      </c>
      <c r="C364" t="s">
        <v>1433</v>
      </c>
      <c r="D364" t="s">
        <v>1433</v>
      </c>
      <c r="E364">
        <f t="shared" si="5"/>
        <v>1</v>
      </c>
      <c r="F364" t="s">
        <v>1434</v>
      </c>
      <c r="G364" s="3" t="s">
        <v>1435</v>
      </c>
    </row>
    <row r="365" spans="1:7" x14ac:dyDescent="0.25">
      <c r="A365" t="s">
        <v>1436</v>
      </c>
      <c r="B365" t="s">
        <v>933</v>
      </c>
      <c r="C365" t="s">
        <v>1437</v>
      </c>
      <c r="D365" t="s">
        <v>1437</v>
      </c>
      <c r="E365">
        <f t="shared" si="5"/>
        <v>1</v>
      </c>
      <c r="F365" t="s">
        <v>1438</v>
      </c>
      <c r="G365" s="3" t="s">
        <v>1439</v>
      </c>
    </row>
    <row r="366" spans="1:7" x14ac:dyDescent="0.25">
      <c r="A366" t="s">
        <v>1440</v>
      </c>
      <c r="B366" t="s">
        <v>933</v>
      </c>
      <c r="C366" t="s">
        <v>1441</v>
      </c>
      <c r="D366" t="s">
        <v>1441</v>
      </c>
      <c r="E366">
        <f t="shared" si="5"/>
        <v>1</v>
      </c>
      <c r="F366" t="s">
        <v>1442</v>
      </c>
      <c r="G366" s="3" t="s">
        <v>1443</v>
      </c>
    </row>
    <row r="367" spans="1:7" x14ac:dyDescent="0.25">
      <c r="A367" t="s">
        <v>1444</v>
      </c>
      <c r="B367" t="s">
        <v>277</v>
      </c>
      <c r="C367" t="s">
        <v>1445</v>
      </c>
      <c r="D367" t="s">
        <v>1445</v>
      </c>
      <c r="E367">
        <f t="shared" si="5"/>
        <v>1</v>
      </c>
      <c r="F367" t="s">
        <v>1446</v>
      </c>
      <c r="G367" s="3" t="s">
        <v>1447</v>
      </c>
    </row>
    <row r="368" spans="1:7" x14ac:dyDescent="0.25">
      <c r="E368">
        <f t="shared" si="5"/>
        <v>1</v>
      </c>
    </row>
  </sheetData>
  <autoFilter ref="A1:G368" xr:uid="{00000000-0001-0000-0000-000000000000}"/>
  <phoneticPr fontId="2" type="noConversion"/>
  <pageMargins left="0.75" right="0.75" top="1" bottom="1" header="0.5" footer="0.5"/>
  <pageSetup paperSize="9" orientation="portrait" r:id="rId1"/>
  <headerFooter>
    <oddFooter>&amp;L_x000D_&amp;1#&amp;"Calibri"&amp;10&amp;K000000 DS Smith –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320E-A1F3-4962-BF0D-F845734D0719}">
  <dimension ref="A4:A1142"/>
  <sheetViews>
    <sheetView topLeftCell="A925" workbookViewId="0">
      <selection activeCell="A4" sqref="A4"/>
    </sheetView>
  </sheetViews>
  <sheetFormatPr defaultRowHeight="15" x14ac:dyDescent="0.25"/>
  <cols>
    <col min="1" max="1" width="178.140625" bestFit="1" customWidth="1"/>
    <col min="2" max="2" width="16.28515625" bestFit="1" customWidth="1"/>
    <col min="3" max="4" width="15.7109375" bestFit="1" customWidth="1"/>
    <col min="5" max="5" width="14.7109375" bestFit="1" customWidth="1"/>
    <col min="6" max="7" width="15.7109375" bestFit="1" customWidth="1"/>
    <col min="8" max="10" width="17.85546875" bestFit="1" customWidth="1"/>
    <col min="11" max="12" width="16.7109375" bestFit="1" customWidth="1"/>
    <col min="13" max="15" width="15" bestFit="1" customWidth="1"/>
    <col min="16" max="16" width="16" bestFit="1" customWidth="1"/>
    <col min="17" max="17" width="17" bestFit="1" customWidth="1"/>
    <col min="18" max="19" width="15.5703125" bestFit="1" customWidth="1"/>
    <col min="20" max="23" width="16.5703125" bestFit="1" customWidth="1"/>
    <col min="24" max="27" width="15.5703125" bestFit="1" customWidth="1"/>
    <col min="28" max="30" width="17.7109375" bestFit="1" customWidth="1"/>
    <col min="31" max="33" width="16.5703125" bestFit="1" customWidth="1"/>
    <col min="34" max="34" width="17" bestFit="1" customWidth="1"/>
    <col min="35" max="35" width="17.7109375" bestFit="1" customWidth="1"/>
    <col min="36" max="36" width="18.7109375" bestFit="1" customWidth="1"/>
    <col min="37" max="38" width="16.42578125" bestFit="1" customWidth="1"/>
    <col min="39" max="40" width="16.5703125" bestFit="1" customWidth="1"/>
    <col min="41" max="57" width="14.42578125" bestFit="1" customWidth="1"/>
    <col min="58" max="58" width="24.42578125" bestFit="1" customWidth="1"/>
    <col min="59" max="59" width="16.42578125" bestFit="1" customWidth="1"/>
    <col min="60" max="60" width="15.7109375" bestFit="1" customWidth="1"/>
    <col min="61" max="62" width="16.7109375" bestFit="1" customWidth="1"/>
    <col min="63" max="63" width="16.140625" bestFit="1" customWidth="1"/>
    <col min="64" max="66" width="16.5703125" bestFit="1" customWidth="1"/>
    <col min="67" max="73" width="18.7109375" bestFit="1" customWidth="1"/>
    <col min="74" max="74" width="16.140625" bestFit="1" customWidth="1"/>
    <col min="75" max="76" width="16.5703125" bestFit="1" customWidth="1"/>
    <col min="77" max="77" width="13.5703125" bestFit="1" customWidth="1"/>
    <col min="78" max="78" width="16" bestFit="1" customWidth="1"/>
    <col min="79" max="80" width="18.140625" bestFit="1" customWidth="1"/>
    <col min="81" max="88" width="16" bestFit="1" customWidth="1"/>
    <col min="89" max="90" width="16.85546875" bestFit="1" customWidth="1"/>
    <col min="91" max="92" width="19" bestFit="1" customWidth="1"/>
    <col min="93" max="94" width="16.140625" bestFit="1" customWidth="1"/>
    <col min="95" max="95" width="28.42578125" bestFit="1" customWidth="1"/>
    <col min="96" max="96" width="17" bestFit="1" customWidth="1"/>
    <col min="97" max="97" width="18.85546875" bestFit="1" customWidth="1"/>
    <col min="98" max="98" width="16.7109375" bestFit="1" customWidth="1"/>
    <col min="99" max="99" width="13.7109375" bestFit="1" customWidth="1"/>
    <col min="100" max="100" width="19" bestFit="1" customWidth="1"/>
    <col min="101" max="104" width="16.85546875" bestFit="1" customWidth="1"/>
    <col min="105" max="105" width="18.28515625" bestFit="1" customWidth="1"/>
    <col min="106" max="106" width="16.140625" bestFit="1" customWidth="1"/>
    <col min="107" max="107" width="18.28515625" bestFit="1" customWidth="1"/>
    <col min="108" max="112" width="16.140625" bestFit="1" customWidth="1"/>
    <col min="113" max="115" width="17" bestFit="1" customWidth="1"/>
    <col min="116" max="116" width="19.140625" bestFit="1" customWidth="1"/>
    <col min="117" max="119" width="18.7109375" bestFit="1" customWidth="1"/>
    <col min="120" max="120" width="19.5703125" bestFit="1" customWidth="1"/>
    <col min="121" max="121" width="18.5703125" bestFit="1" customWidth="1"/>
    <col min="122" max="123" width="19.5703125" bestFit="1" customWidth="1"/>
    <col min="124" max="126" width="16.42578125" bestFit="1" customWidth="1"/>
    <col min="127" max="128" width="18.140625" bestFit="1" customWidth="1"/>
    <col min="129" max="129" width="22" bestFit="1" customWidth="1"/>
    <col min="130" max="130" width="16.7109375" bestFit="1" customWidth="1"/>
    <col min="131" max="131" width="18.140625" bestFit="1" customWidth="1"/>
    <col min="132" max="132" width="16" bestFit="1" customWidth="1"/>
    <col min="133" max="133" width="16.7109375" bestFit="1" customWidth="1"/>
    <col min="134" max="134" width="23.140625" bestFit="1" customWidth="1"/>
    <col min="135" max="136" width="16.7109375" bestFit="1" customWidth="1"/>
    <col min="137" max="138" width="18.85546875" bestFit="1" customWidth="1"/>
    <col min="139" max="149" width="16.7109375" bestFit="1" customWidth="1"/>
    <col min="150" max="162" width="16.85546875" bestFit="1" customWidth="1"/>
    <col min="163" max="163" width="18.28515625" bestFit="1" customWidth="1"/>
    <col min="164" max="164" width="16.140625" bestFit="1" customWidth="1"/>
    <col min="165" max="165" width="16.42578125" bestFit="1" customWidth="1"/>
    <col min="166" max="167" width="16.5703125" bestFit="1" customWidth="1"/>
    <col min="168" max="168" width="16" bestFit="1" customWidth="1"/>
    <col min="169" max="170" width="18.140625" bestFit="1" customWidth="1"/>
    <col min="171" max="173" width="15.5703125" bestFit="1" customWidth="1"/>
    <col min="174" max="175" width="13.5703125" bestFit="1" customWidth="1"/>
    <col min="176" max="177" width="16" bestFit="1" customWidth="1"/>
    <col min="178" max="178" width="14.140625" bestFit="1" customWidth="1"/>
    <col min="179" max="179" width="17.28515625" bestFit="1" customWidth="1"/>
    <col min="180" max="180" width="12.85546875" bestFit="1" customWidth="1"/>
    <col min="181" max="181" width="17.28515625" bestFit="1" customWidth="1"/>
    <col min="182" max="182" width="12.85546875" bestFit="1" customWidth="1"/>
    <col min="183" max="184" width="13.42578125" bestFit="1" customWidth="1"/>
    <col min="185" max="186" width="15" bestFit="1" customWidth="1"/>
    <col min="187" max="188" width="13.85546875" bestFit="1" customWidth="1"/>
    <col min="189" max="192" width="13.140625" bestFit="1" customWidth="1"/>
    <col min="193" max="194" width="12.85546875" bestFit="1" customWidth="1"/>
    <col min="195" max="195" width="24.42578125" bestFit="1" customWidth="1"/>
    <col min="196" max="197" width="12.42578125" bestFit="1" customWidth="1"/>
    <col min="198" max="199" width="16.7109375" bestFit="1" customWidth="1"/>
    <col min="200" max="201" width="13.7109375" bestFit="1" customWidth="1"/>
    <col min="202" max="204" width="14.42578125" bestFit="1" customWidth="1"/>
    <col min="205" max="206" width="13.7109375" bestFit="1" customWidth="1"/>
    <col min="207" max="207" width="13.140625" bestFit="1" customWidth="1"/>
    <col min="208" max="213" width="13.5703125" bestFit="1" customWidth="1"/>
    <col min="214" max="216" width="14.42578125" bestFit="1" customWidth="1"/>
    <col min="217" max="219" width="13.42578125" bestFit="1" customWidth="1"/>
    <col min="220" max="221" width="17.7109375" bestFit="1" customWidth="1"/>
    <col min="222" max="223" width="13.7109375" bestFit="1" customWidth="1"/>
    <col min="224" max="225" width="16.7109375" bestFit="1" customWidth="1"/>
    <col min="226" max="241" width="16.5703125" bestFit="1" customWidth="1"/>
    <col min="242" max="247" width="16.42578125" bestFit="1" customWidth="1"/>
    <col min="248" max="248" width="15.85546875" bestFit="1" customWidth="1"/>
    <col min="249" max="252" width="16.7109375" bestFit="1" customWidth="1"/>
    <col min="253" max="257" width="16.140625" bestFit="1" customWidth="1"/>
    <col min="258" max="258" width="16.42578125" bestFit="1" customWidth="1"/>
    <col min="259" max="259" width="19.140625" bestFit="1" customWidth="1"/>
    <col min="260" max="260" width="16.5703125" bestFit="1" customWidth="1"/>
    <col min="261" max="262" width="16" bestFit="1" customWidth="1"/>
    <col min="263" max="263" width="12.85546875" bestFit="1" customWidth="1"/>
    <col min="264" max="264" width="13.7109375" bestFit="1" customWidth="1"/>
    <col min="265" max="265" width="14" bestFit="1" customWidth="1"/>
    <col min="266" max="266" width="15" bestFit="1" customWidth="1"/>
    <col min="267" max="267" width="12.85546875" bestFit="1" customWidth="1"/>
    <col min="268" max="277" width="13.140625" bestFit="1" customWidth="1"/>
    <col min="278" max="278" width="14" bestFit="1" customWidth="1"/>
    <col min="279" max="279" width="15" bestFit="1" customWidth="1"/>
    <col min="280" max="280" width="13.140625" bestFit="1" customWidth="1"/>
    <col min="281" max="281" width="15" bestFit="1" customWidth="1"/>
    <col min="282" max="282" width="12.85546875" bestFit="1" customWidth="1"/>
    <col min="283" max="283" width="15" bestFit="1" customWidth="1"/>
    <col min="284" max="284" width="12.85546875" bestFit="1" customWidth="1"/>
    <col min="285" max="285" width="14" bestFit="1" customWidth="1"/>
    <col min="286" max="286" width="13.42578125" bestFit="1" customWidth="1"/>
    <col min="287" max="288" width="14.140625" bestFit="1" customWidth="1"/>
    <col min="289" max="290" width="13.42578125" bestFit="1" customWidth="1"/>
    <col min="291" max="292" width="14.140625" bestFit="1" customWidth="1"/>
    <col min="293" max="293" width="13.42578125" bestFit="1" customWidth="1"/>
    <col min="294" max="294" width="15" bestFit="1" customWidth="1"/>
    <col min="295" max="295" width="14.140625" bestFit="1" customWidth="1"/>
    <col min="296" max="296" width="13.42578125" bestFit="1" customWidth="1"/>
    <col min="297" max="298" width="14.140625" bestFit="1" customWidth="1"/>
    <col min="299" max="299" width="16.5703125" bestFit="1" customWidth="1"/>
    <col min="300" max="300" width="28.85546875" bestFit="1" customWidth="1"/>
    <col min="301" max="301" width="33.140625" bestFit="1" customWidth="1"/>
    <col min="302" max="302" width="27.28515625" bestFit="1" customWidth="1"/>
    <col min="303" max="303" width="26.85546875" bestFit="1" customWidth="1"/>
    <col min="304" max="304" width="13.85546875" bestFit="1" customWidth="1"/>
    <col min="305" max="305" width="32.28515625" bestFit="1" customWidth="1"/>
    <col min="306" max="308" width="18.28515625" bestFit="1" customWidth="1"/>
    <col min="309" max="311" width="18.140625" bestFit="1" customWidth="1"/>
    <col min="312" max="313" width="18.85546875" bestFit="1" customWidth="1"/>
    <col min="314" max="315" width="22" bestFit="1" customWidth="1"/>
    <col min="316" max="321" width="18.85546875" bestFit="1" customWidth="1"/>
    <col min="322" max="322" width="18.28515625" bestFit="1" customWidth="1"/>
    <col min="323" max="324" width="22" bestFit="1" customWidth="1"/>
    <col min="325" max="325" width="18.85546875" bestFit="1" customWidth="1"/>
    <col min="326" max="326" width="24.7109375" bestFit="1" customWidth="1"/>
    <col min="327" max="327" width="21.42578125" bestFit="1" customWidth="1"/>
    <col min="328" max="328" width="21.5703125" bestFit="1" customWidth="1"/>
    <col min="329" max="329" width="21.42578125" bestFit="1" customWidth="1"/>
    <col min="330" max="330" width="18.42578125" bestFit="1" customWidth="1"/>
    <col min="331" max="331" width="24.28515625" bestFit="1" customWidth="1"/>
    <col min="332" max="332" width="18" bestFit="1" customWidth="1"/>
    <col min="333" max="334" width="25" bestFit="1" customWidth="1"/>
    <col min="335" max="335" width="20.5703125" bestFit="1" customWidth="1"/>
    <col min="336" max="336" width="26.85546875" bestFit="1" customWidth="1"/>
    <col min="337" max="340" width="24.7109375" bestFit="1" customWidth="1"/>
    <col min="341" max="342" width="23.140625" bestFit="1" customWidth="1"/>
    <col min="343" max="343" width="22.85546875" bestFit="1" customWidth="1"/>
    <col min="344" max="344" width="22" bestFit="1" customWidth="1"/>
    <col min="345" max="345" width="21.5703125" bestFit="1" customWidth="1"/>
    <col min="346" max="349" width="24" bestFit="1" customWidth="1"/>
    <col min="350" max="354" width="21.5703125" bestFit="1" customWidth="1"/>
    <col min="355" max="356" width="24.5703125" bestFit="1" customWidth="1"/>
    <col min="357" max="357" width="19.28515625" bestFit="1" customWidth="1"/>
    <col min="358" max="358" width="22.5703125" bestFit="1" customWidth="1"/>
    <col min="359" max="359" width="8.85546875" bestFit="1" customWidth="1"/>
    <col min="360" max="360" width="11.42578125" bestFit="1" customWidth="1"/>
    <col min="361" max="361" width="12.140625" bestFit="1" customWidth="1"/>
    <col min="362" max="362" width="30.5703125" bestFit="1" customWidth="1"/>
    <col min="363" max="364" width="21" bestFit="1" customWidth="1"/>
    <col min="365" max="365" width="21.42578125" bestFit="1" customWidth="1"/>
    <col min="366" max="366" width="12.7109375" bestFit="1" customWidth="1"/>
    <col min="367" max="367" width="12.5703125" bestFit="1" customWidth="1"/>
    <col min="368" max="368" width="7.28515625" bestFit="1" customWidth="1"/>
    <col min="369" max="369" width="11.28515625" bestFit="1" customWidth="1"/>
    <col min="370" max="370" width="20" bestFit="1" customWidth="1"/>
    <col min="371" max="371" width="16.85546875" bestFit="1" customWidth="1"/>
    <col min="372" max="372" width="18.85546875" bestFit="1" customWidth="1"/>
    <col min="373" max="373" width="16.85546875" bestFit="1" customWidth="1"/>
    <col min="374" max="374" width="18.85546875" bestFit="1" customWidth="1"/>
    <col min="375" max="375" width="16.85546875" bestFit="1" customWidth="1"/>
    <col min="376" max="376" width="18.140625" bestFit="1" customWidth="1"/>
    <col min="377" max="377" width="16.85546875" bestFit="1" customWidth="1"/>
    <col min="378" max="378" width="18.140625" bestFit="1" customWidth="1"/>
    <col min="379" max="379" width="18.28515625" bestFit="1" customWidth="1"/>
    <col min="380" max="380" width="18.140625" bestFit="1" customWidth="1"/>
    <col min="381" max="381" width="16.140625" bestFit="1" customWidth="1"/>
    <col min="382" max="382" width="18.140625" bestFit="1" customWidth="1"/>
    <col min="383" max="383" width="18.28515625" bestFit="1" customWidth="1"/>
    <col min="384" max="384" width="18" bestFit="1" customWidth="1"/>
    <col min="385" max="385" width="16.140625" bestFit="1" customWidth="1"/>
    <col min="386" max="386" width="18" bestFit="1" customWidth="1"/>
    <col min="387" max="387" width="26.28515625" bestFit="1" customWidth="1"/>
    <col min="388" max="388" width="29.42578125" bestFit="1" customWidth="1"/>
    <col min="389" max="389" width="16.140625" bestFit="1" customWidth="1"/>
    <col min="390" max="390" width="17.5703125" bestFit="1" customWidth="1"/>
    <col min="391" max="391" width="16.140625" bestFit="1" customWidth="1"/>
    <col min="392" max="392" width="17.5703125" bestFit="1" customWidth="1"/>
    <col min="393" max="393" width="18.5703125" bestFit="1" customWidth="1"/>
    <col min="394" max="394" width="21.85546875" bestFit="1" customWidth="1"/>
    <col min="395" max="395" width="19.140625" bestFit="1" customWidth="1"/>
    <col min="396" max="396" width="21.85546875" bestFit="1" customWidth="1"/>
    <col min="397" max="397" width="19.140625" bestFit="1" customWidth="1"/>
    <col min="398" max="398" width="18.7109375" bestFit="1" customWidth="1"/>
    <col min="399" max="399" width="16.42578125" bestFit="1" customWidth="1"/>
    <col min="400" max="401" width="18.7109375" bestFit="1" customWidth="1"/>
    <col min="402" max="402" width="19.42578125" bestFit="1" customWidth="1"/>
    <col min="403" max="403" width="18.7109375" bestFit="1" customWidth="1"/>
    <col min="404" max="404" width="19.42578125" bestFit="1" customWidth="1"/>
    <col min="405" max="405" width="19.5703125" bestFit="1" customWidth="1"/>
    <col min="406" max="406" width="19.42578125" bestFit="1" customWidth="1"/>
    <col min="407" max="407" width="18.5703125" bestFit="1" customWidth="1"/>
    <col min="408" max="408" width="18.7109375" bestFit="1" customWidth="1"/>
    <col min="409" max="409" width="16.42578125" bestFit="1" customWidth="1"/>
    <col min="410" max="410" width="18.7109375" bestFit="1" customWidth="1"/>
    <col min="411" max="411" width="19.5703125" bestFit="1" customWidth="1"/>
    <col min="412" max="412" width="18.140625" bestFit="1" customWidth="1"/>
    <col min="413" max="413" width="19.5703125" bestFit="1" customWidth="1"/>
    <col min="414" max="414" width="18.5703125" bestFit="1" customWidth="1"/>
    <col min="415" max="415" width="19.5703125" bestFit="1" customWidth="1"/>
    <col min="416" max="416" width="18.5703125" bestFit="1" customWidth="1"/>
    <col min="417" max="417" width="19.5703125" bestFit="1" customWidth="1"/>
    <col min="418" max="418" width="18.5703125" bestFit="1" customWidth="1"/>
    <col min="419" max="419" width="19.5703125" bestFit="1" customWidth="1"/>
    <col min="420" max="420" width="18.5703125" bestFit="1" customWidth="1"/>
    <col min="421" max="421" width="16.42578125" bestFit="1" customWidth="1"/>
    <col min="422" max="422" width="18.5703125" bestFit="1" customWidth="1"/>
    <col min="423" max="423" width="16.42578125" bestFit="1" customWidth="1"/>
    <col min="424" max="424" width="18.5703125" bestFit="1" customWidth="1"/>
    <col min="425" max="425" width="16.42578125" bestFit="1" customWidth="1"/>
    <col min="426" max="426" width="19.42578125" bestFit="1" customWidth="1"/>
    <col min="427" max="427" width="16.42578125" bestFit="1" customWidth="1"/>
    <col min="428" max="428" width="19.42578125" bestFit="1" customWidth="1"/>
    <col min="429" max="429" width="16.42578125" bestFit="1" customWidth="1"/>
    <col min="430" max="430" width="19.42578125" bestFit="1" customWidth="1"/>
    <col min="431" max="431" width="16.42578125" bestFit="1" customWidth="1"/>
    <col min="432" max="432" width="18.42578125" bestFit="1" customWidth="1"/>
    <col min="433" max="433" width="20.28515625" bestFit="1" customWidth="1"/>
    <col min="434" max="434" width="18.42578125" bestFit="1" customWidth="1"/>
    <col min="435" max="435" width="18.140625" bestFit="1" customWidth="1"/>
    <col min="436" max="436" width="18.42578125" bestFit="1" customWidth="1"/>
    <col min="437" max="437" width="19.5703125" bestFit="1" customWidth="1"/>
    <col min="438" max="438" width="22.7109375" bestFit="1" customWidth="1"/>
    <col min="439" max="439" width="19.5703125" bestFit="1" customWidth="1"/>
    <col min="440" max="440" width="22.7109375" bestFit="1" customWidth="1"/>
    <col min="441" max="441" width="18.140625" bestFit="1" customWidth="1"/>
    <col min="442" max="442" width="18.7109375" bestFit="1" customWidth="1"/>
    <col min="443" max="443" width="16.140625" bestFit="1" customWidth="1"/>
    <col min="444" max="444" width="18.7109375" bestFit="1" customWidth="1"/>
    <col min="445" max="445" width="18.5703125" bestFit="1" customWidth="1"/>
    <col min="446" max="446" width="21.85546875" bestFit="1" customWidth="1"/>
    <col min="447" max="447" width="18.5703125" bestFit="1" customWidth="1"/>
    <col min="448" max="448" width="21.85546875" bestFit="1" customWidth="1"/>
    <col min="449" max="449" width="18.42578125" bestFit="1" customWidth="1"/>
    <col min="450" max="450" width="21.7109375" bestFit="1" customWidth="1"/>
    <col min="451" max="451" width="18.42578125" bestFit="1" customWidth="1"/>
    <col min="452" max="452" width="21.7109375" bestFit="1" customWidth="1"/>
    <col min="453" max="453" width="18.42578125" bestFit="1" customWidth="1"/>
    <col min="454" max="454" width="21.7109375" bestFit="1" customWidth="1"/>
    <col min="455" max="455" width="18.42578125" bestFit="1" customWidth="1"/>
    <col min="456" max="456" width="21.7109375" bestFit="1" customWidth="1"/>
    <col min="457" max="457" width="18.42578125" bestFit="1" customWidth="1"/>
    <col min="458" max="458" width="21.7109375" bestFit="1" customWidth="1"/>
    <col min="459" max="459" width="18.42578125" bestFit="1" customWidth="1"/>
    <col min="460" max="460" width="21.7109375" bestFit="1" customWidth="1"/>
    <col min="461" max="461" width="18.42578125" bestFit="1" customWidth="1"/>
    <col min="462" max="462" width="21.7109375" bestFit="1" customWidth="1"/>
    <col min="463" max="463" width="18.42578125" bestFit="1" customWidth="1"/>
    <col min="464" max="464" width="21.7109375" bestFit="1" customWidth="1"/>
    <col min="465" max="465" width="18.42578125" bestFit="1" customWidth="1"/>
    <col min="466" max="466" width="21.7109375" bestFit="1" customWidth="1"/>
    <col min="467" max="467" width="18.42578125" bestFit="1" customWidth="1"/>
    <col min="468" max="468" width="21.7109375" bestFit="1" customWidth="1"/>
    <col min="469" max="469" width="23.140625" bestFit="1" customWidth="1"/>
    <col min="470" max="470" width="21.7109375" bestFit="1" customWidth="1"/>
    <col min="471" max="471" width="18.42578125" bestFit="1" customWidth="1"/>
    <col min="472" max="472" width="21.7109375" bestFit="1" customWidth="1"/>
    <col min="473" max="473" width="18.42578125" bestFit="1" customWidth="1"/>
    <col min="474" max="474" width="21.7109375" bestFit="1" customWidth="1"/>
    <col min="475" max="475" width="18.85546875" bestFit="1" customWidth="1"/>
    <col min="476" max="476" width="21.7109375" bestFit="1" customWidth="1"/>
    <col min="477" max="477" width="18.85546875" bestFit="1" customWidth="1"/>
    <col min="478" max="478" width="21.7109375" bestFit="1" customWidth="1"/>
    <col min="479" max="479" width="18.42578125" bestFit="1" customWidth="1"/>
    <col min="480" max="480" width="21.7109375" bestFit="1" customWidth="1"/>
    <col min="481" max="481" width="18.28515625" bestFit="1" customWidth="1"/>
    <col min="482" max="482" width="21.5703125" bestFit="1" customWidth="1"/>
    <col min="483" max="483" width="18.28515625" bestFit="1" customWidth="1"/>
    <col min="484" max="484" width="21.5703125" bestFit="1" customWidth="1"/>
    <col min="485" max="485" width="18.28515625" bestFit="1" customWidth="1"/>
    <col min="486" max="486" width="21.5703125" bestFit="1" customWidth="1"/>
    <col min="487" max="487" width="18.28515625" bestFit="1" customWidth="1"/>
    <col min="488" max="488" width="21.5703125" bestFit="1" customWidth="1"/>
    <col min="489" max="489" width="18.28515625" bestFit="1" customWidth="1"/>
    <col min="490" max="490" width="21.5703125" bestFit="1" customWidth="1"/>
    <col min="491" max="491" width="18.28515625" bestFit="1" customWidth="1"/>
    <col min="492" max="492" width="21.5703125" bestFit="1" customWidth="1"/>
    <col min="493" max="493" width="17.7109375" bestFit="1" customWidth="1"/>
    <col min="494" max="494" width="20.85546875" bestFit="1" customWidth="1"/>
    <col min="495" max="495" width="18.5703125" bestFit="1" customWidth="1"/>
    <col min="496" max="496" width="21.85546875" bestFit="1" customWidth="1"/>
    <col min="497" max="497" width="18.5703125" bestFit="1" customWidth="1"/>
    <col min="498" max="498" width="21.85546875" bestFit="1" customWidth="1"/>
    <col min="499" max="499" width="18.5703125" bestFit="1" customWidth="1"/>
    <col min="500" max="500" width="21.85546875" bestFit="1" customWidth="1"/>
    <col min="501" max="501" width="18.5703125" bestFit="1" customWidth="1"/>
    <col min="502" max="502" width="21.85546875" bestFit="1" customWidth="1"/>
    <col min="503" max="503" width="18" bestFit="1" customWidth="1"/>
    <col min="504" max="504" width="21.140625" bestFit="1" customWidth="1"/>
    <col min="505" max="505" width="18" bestFit="1" customWidth="1"/>
    <col min="506" max="506" width="21.140625" bestFit="1" customWidth="1"/>
    <col min="507" max="507" width="18" bestFit="1" customWidth="1"/>
    <col min="508" max="508" width="21.140625" bestFit="1" customWidth="1"/>
    <col min="509" max="509" width="18" bestFit="1" customWidth="1"/>
    <col min="510" max="510" width="21.140625" bestFit="1" customWidth="1"/>
    <col min="511" max="511" width="18" bestFit="1" customWidth="1"/>
    <col min="512" max="512" width="21.140625" bestFit="1" customWidth="1"/>
    <col min="513" max="513" width="18.28515625" bestFit="1" customWidth="1"/>
    <col min="514" max="514" width="21.5703125" bestFit="1" customWidth="1"/>
    <col min="515" max="515" width="21" bestFit="1" customWidth="1"/>
    <col min="516" max="516" width="24.140625" bestFit="1" customWidth="1"/>
    <col min="517" max="517" width="18.42578125" bestFit="1" customWidth="1"/>
    <col min="518" max="518" width="21.7109375" bestFit="1" customWidth="1"/>
    <col min="519" max="519" width="17.85546875" bestFit="1" customWidth="1"/>
    <col min="520" max="520" width="21" bestFit="1" customWidth="1"/>
    <col min="521" max="521" width="17.85546875" bestFit="1" customWidth="1"/>
    <col min="522" max="522" width="21" bestFit="1" customWidth="1"/>
    <col min="523" max="523" width="16.85546875" bestFit="1" customWidth="1"/>
    <col min="524" max="524" width="18" bestFit="1" customWidth="1"/>
    <col min="525" max="525" width="16.85546875" bestFit="1" customWidth="1"/>
    <col min="526" max="526" width="18.7109375" bestFit="1" customWidth="1"/>
    <col min="527" max="527" width="16.85546875" bestFit="1" customWidth="1"/>
    <col min="528" max="528" width="19" bestFit="1" customWidth="1"/>
    <col min="529" max="529" width="16.85546875" bestFit="1" customWidth="1"/>
    <col min="530" max="530" width="20" bestFit="1" customWidth="1"/>
    <col min="531" max="531" width="16.5703125" bestFit="1" customWidth="1"/>
    <col min="532" max="532" width="18" bestFit="1" customWidth="1"/>
    <col min="533" max="533" width="16" bestFit="1" customWidth="1"/>
    <col min="534" max="534" width="18.140625" bestFit="1" customWidth="1"/>
    <col min="535" max="535" width="15.5703125" bestFit="1" customWidth="1"/>
    <col min="536" max="536" width="18.140625" bestFit="1" customWidth="1"/>
    <col min="537" max="537" width="15.5703125" bestFit="1" customWidth="1"/>
    <col min="538" max="538" width="18.140625" bestFit="1" customWidth="1"/>
    <col min="539" max="539" width="15.5703125" bestFit="1" customWidth="1"/>
    <col min="540" max="540" width="18.140625" bestFit="1" customWidth="1"/>
    <col min="541" max="541" width="15.5703125" bestFit="1" customWidth="1"/>
    <col min="542" max="542" width="18.140625" bestFit="1" customWidth="1"/>
    <col min="543" max="543" width="15.5703125" bestFit="1" customWidth="1"/>
    <col min="544" max="544" width="18.140625" bestFit="1" customWidth="1"/>
    <col min="545" max="545" width="15" bestFit="1" customWidth="1"/>
    <col min="546" max="546" width="18.140625" bestFit="1" customWidth="1"/>
    <col min="547" max="547" width="15" bestFit="1" customWidth="1"/>
    <col min="548" max="548" width="18.140625" bestFit="1" customWidth="1"/>
    <col min="549" max="549" width="15" bestFit="1" customWidth="1"/>
    <col min="550" max="550" width="18.140625" bestFit="1" customWidth="1"/>
    <col min="551" max="551" width="15" bestFit="1" customWidth="1"/>
    <col min="552" max="552" width="18.140625" bestFit="1" customWidth="1"/>
    <col min="553" max="553" width="15.85546875" bestFit="1" customWidth="1"/>
    <col min="554" max="554" width="19" bestFit="1" customWidth="1"/>
    <col min="555" max="555" width="17.28515625" bestFit="1" customWidth="1"/>
    <col min="556" max="556" width="20" bestFit="1" customWidth="1"/>
    <col min="557" max="557" width="17.28515625" bestFit="1" customWidth="1"/>
    <col min="558" max="558" width="18.140625" bestFit="1" customWidth="1"/>
    <col min="559" max="559" width="66" bestFit="1" customWidth="1"/>
    <col min="560" max="560" width="20" bestFit="1" customWidth="1"/>
    <col min="561" max="561" width="14.7109375" bestFit="1" customWidth="1"/>
    <col min="562" max="562" width="18" bestFit="1" customWidth="1"/>
    <col min="563" max="563" width="66" bestFit="1" customWidth="1"/>
    <col min="564" max="564" width="20" bestFit="1" customWidth="1"/>
    <col min="565" max="565" width="14.7109375" bestFit="1" customWidth="1"/>
    <col min="566" max="566" width="18" bestFit="1" customWidth="1"/>
    <col min="567" max="567" width="15.85546875" bestFit="1" customWidth="1"/>
    <col min="568" max="568" width="19" bestFit="1" customWidth="1"/>
    <col min="569" max="569" width="15.28515625" bestFit="1" customWidth="1"/>
    <col min="570" max="570" width="18.42578125" bestFit="1" customWidth="1"/>
    <col min="571" max="571" width="16" bestFit="1" customWidth="1"/>
    <col min="572" max="572" width="19.140625" bestFit="1" customWidth="1"/>
    <col min="573" max="573" width="16" bestFit="1" customWidth="1"/>
    <col min="574" max="574" width="19.140625" bestFit="1" customWidth="1"/>
    <col min="575" max="575" width="15.28515625" bestFit="1" customWidth="1"/>
    <col min="576" max="576" width="18.42578125" bestFit="1" customWidth="1"/>
    <col min="577" max="577" width="15.28515625" bestFit="1" customWidth="1"/>
    <col min="578" max="578" width="18.42578125" bestFit="1" customWidth="1"/>
    <col min="579" max="579" width="16" bestFit="1" customWidth="1"/>
    <col min="580" max="580" width="19.140625" bestFit="1" customWidth="1"/>
    <col min="581" max="581" width="16" bestFit="1" customWidth="1"/>
    <col min="582" max="582" width="19.140625" bestFit="1" customWidth="1"/>
    <col min="583" max="583" width="15.28515625" bestFit="1" customWidth="1"/>
    <col min="584" max="584" width="18.42578125" bestFit="1" customWidth="1"/>
    <col min="585" max="585" width="16.85546875" bestFit="1" customWidth="1"/>
    <col min="586" max="586" width="20" bestFit="1" customWidth="1"/>
    <col min="587" max="587" width="16" bestFit="1" customWidth="1"/>
    <col min="588" max="588" width="19.140625" bestFit="1" customWidth="1"/>
    <col min="589" max="589" width="15.28515625" bestFit="1" customWidth="1"/>
    <col min="590" max="590" width="18.42578125" bestFit="1" customWidth="1"/>
    <col min="591" max="591" width="16" bestFit="1" customWidth="1"/>
    <col min="592" max="592" width="19.140625" bestFit="1" customWidth="1"/>
    <col min="593" max="593" width="16" bestFit="1" customWidth="1"/>
    <col min="594" max="594" width="19.140625" bestFit="1" customWidth="1"/>
    <col min="595" max="595" width="18.42578125" bestFit="1" customWidth="1"/>
    <col min="596" max="596" width="21.7109375" bestFit="1" customWidth="1"/>
    <col min="597" max="597" width="30.7109375" bestFit="1" customWidth="1"/>
    <col min="598" max="598" width="34" bestFit="1" customWidth="1"/>
    <col min="599" max="599" width="35" bestFit="1" customWidth="1"/>
    <col min="600" max="600" width="38.28515625" bestFit="1" customWidth="1"/>
    <col min="601" max="601" width="29.140625" bestFit="1" customWidth="1"/>
    <col min="602" max="602" width="32.28515625" bestFit="1" customWidth="1"/>
    <col min="603" max="603" width="28.7109375" bestFit="1" customWidth="1"/>
    <col min="604" max="604" width="31.85546875" bestFit="1" customWidth="1"/>
    <col min="605" max="605" width="15.7109375" bestFit="1" customWidth="1"/>
    <col min="606" max="606" width="18.85546875" bestFit="1" customWidth="1"/>
    <col min="607" max="607" width="34.140625" bestFit="1" customWidth="1"/>
    <col min="608" max="608" width="37.28515625" bestFit="1" customWidth="1"/>
    <col min="609" max="609" width="20.140625" bestFit="1" customWidth="1"/>
    <col min="610" max="610" width="23.28515625" bestFit="1" customWidth="1"/>
    <col min="611" max="611" width="20.140625" bestFit="1" customWidth="1"/>
    <col min="612" max="612" width="23.28515625" bestFit="1" customWidth="1"/>
    <col min="613" max="613" width="20.140625" bestFit="1" customWidth="1"/>
    <col min="614" max="614" width="23.28515625" bestFit="1" customWidth="1"/>
    <col min="615" max="615" width="20" bestFit="1" customWidth="1"/>
    <col min="616" max="616" width="23.140625" bestFit="1" customWidth="1"/>
    <col min="617" max="617" width="20" bestFit="1" customWidth="1"/>
    <col min="618" max="618" width="23.140625" bestFit="1" customWidth="1"/>
    <col min="619" max="619" width="20" bestFit="1" customWidth="1"/>
    <col min="620" max="620" width="23.140625" bestFit="1" customWidth="1"/>
    <col min="621" max="621" width="20.7109375" bestFit="1" customWidth="1"/>
    <col min="622" max="622" width="23.85546875" bestFit="1" customWidth="1"/>
    <col min="623" max="623" width="20.7109375" bestFit="1" customWidth="1"/>
    <col min="624" max="625" width="23.85546875" bestFit="1" customWidth="1"/>
    <col min="626" max="626" width="27" bestFit="1" customWidth="1"/>
    <col min="627" max="627" width="23.85546875" bestFit="1" customWidth="1"/>
    <col min="628" max="628" width="27" bestFit="1" customWidth="1"/>
    <col min="629" max="629" width="20.7109375" bestFit="1" customWidth="1"/>
    <col min="630" max="630" width="23.85546875" bestFit="1" customWidth="1"/>
    <col min="631" max="631" width="20.7109375" bestFit="1" customWidth="1"/>
    <col min="632" max="632" width="23.85546875" bestFit="1" customWidth="1"/>
    <col min="633" max="633" width="20.7109375" bestFit="1" customWidth="1"/>
    <col min="634" max="634" width="23.85546875" bestFit="1" customWidth="1"/>
    <col min="635" max="635" width="20.7109375" bestFit="1" customWidth="1"/>
    <col min="636" max="636" width="23.85546875" bestFit="1" customWidth="1"/>
    <col min="637" max="637" width="20.7109375" bestFit="1" customWidth="1"/>
    <col min="638" max="638" width="23.85546875" bestFit="1" customWidth="1"/>
    <col min="639" max="639" width="20.7109375" bestFit="1" customWidth="1"/>
    <col min="640" max="640" width="23.85546875" bestFit="1" customWidth="1"/>
    <col min="641" max="641" width="20.140625" bestFit="1" customWidth="1"/>
    <col min="642" max="642" width="23.28515625" bestFit="1" customWidth="1"/>
    <col min="643" max="643" width="23.85546875" bestFit="1" customWidth="1"/>
    <col min="644" max="644" width="27" bestFit="1" customWidth="1"/>
    <col min="645" max="645" width="23.85546875" bestFit="1" customWidth="1"/>
    <col min="646" max="646" width="27" bestFit="1" customWidth="1"/>
    <col min="647" max="647" width="20.7109375" bestFit="1" customWidth="1"/>
    <col min="648" max="648" width="23.85546875" bestFit="1" customWidth="1"/>
    <col min="649" max="649" width="26.5703125" bestFit="1" customWidth="1"/>
    <col min="650" max="650" width="29.85546875" bestFit="1" customWidth="1"/>
    <col min="651" max="651" width="23.28515625" bestFit="1" customWidth="1"/>
    <col min="652" max="652" width="26.42578125" bestFit="1" customWidth="1"/>
    <col min="653" max="653" width="23.42578125" bestFit="1" customWidth="1"/>
    <col min="654" max="654" width="26.5703125" bestFit="1" customWidth="1"/>
    <col min="655" max="655" width="23.28515625" bestFit="1" customWidth="1"/>
    <col min="656" max="656" width="26.42578125" bestFit="1" customWidth="1"/>
    <col min="657" max="657" width="20.28515625" bestFit="1" customWidth="1"/>
    <col min="658" max="658" width="23.42578125" bestFit="1" customWidth="1"/>
    <col min="659" max="659" width="26.140625" bestFit="1" customWidth="1"/>
    <col min="660" max="660" width="29.28515625" bestFit="1" customWidth="1"/>
    <col min="661" max="661" width="19.85546875" bestFit="1" customWidth="1"/>
    <col min="662" max="662" width="23" bestFit="1" customWidth="1"/>
    <col min="663" max="663" width="26.85546875" bestFit="1" customWidth="1"/>
    <col min="664" max="664" width="30.140625" bestFit="1" customWidth="1"/>
    <col min="665" max="665" width="26.85546875" bestFit="1" customWidth="1"/>
    <col min="666" max="666" width="30.140625" bestFit="1" customWidth="1"/>
    <col min="667" max="667" width="22.42578125" bestFit="1" customWidth="1"/>
    <col min="668" max="668" width="25.7109375" bestFit="1" customWidth="1"/>
    <col min="669" max="669" width="28.7109375" bestFit="1" customWidth="1"/>
    <col min="670" max="670" width="31.85546875" bestFit="1" customWidth="1"/>
    <col min="671" max="671" width="26.5703125" bestFit="1" customWidth="1"/>
    <col min="672" max="672" width="29.85546875" bestFit="1" customWidth="1"/>
    <col min="673" max="673" width="26.5703125" bestFit="1" customWidth="1"/>
    <col min="674" max="674" width="29.85546875" bestFit="1" customWidth="1"/>
    <col min="675" max="675" width="26.5703125" bestFit="1" customWidth="1"/>
    <col min="676" max="676" width="29.85546875" bestFit="1" customWidth="1"/>
    <col min="677" max="677" width="26.5703125" bestFit="1" customWidth="1"/>
    <col min="678" max="678" width="29.85546875" bestFit="1" customWidth="1"/>
    <col min="679" max="679" width="25" bestFit="1" customWidth="1"/>
    <col min="680" max="680" width="28.140625" bestFit="1" customWidth="1"/>
    <col min="681" max="681" width="25" bestFit="1" customWidth="1"/>
    <col min="682" max="682" width="28.140625" bestFit="1" customWidth="1"/>
    <col min="683" max="683" width="24.7109375" bestFit="1" customWidth="1"/>
    <col min="684" max="684" width="27.85546875" bestFit="1" customWidth="1"/>
    <col min="685" max="685" width="23.85546875" bestFit="1" customWidth="1"/>
    <col min="686" max="686" width="27" bestFit="1" customWidth="1"/>
    <col min="687" max="687" width="23.42578125" bestFit="1" customWidth="1"/>
    <col min="688" max="688" width="26.5703125" bestFit="1" customWidth="1"/>
    <col min="689" max="689" width="25.85546875" bestFit="1" customWidth="1"/>
    <col min="690" max="690" width="29" bestFit="1" customWidth="1"/>
    <col min="691" max="691" width="25.85546875" bestFit="1" customWidth="1"/>
    <col min="692" max="692" width="29" bestFit="1" customWidth="1"/>
    <col min="693" max="693" width="25.85546875" bestFit="1" customWidth="1"/>
    <col min="694" max="694" width="29" bestFit="1" customWidth="1"/>
    <col min="695" max="695" width="25.85546875" bestFit="1" customWidth="1"/>
    <col min="696" max="696" width="29" bestFit="1" customWidth="1"/>
    <col min="697" max="697" width="23.42578125" bestFit="1" customWidth="1"/>
    <col min="698" max="698" width="26.5703125" bestFit="1" customWidth="1"/>
    <col min="699" max="699" width="23.42578125" bestFit="1" customWidth="1"/>
    <col min="700" max="700" width="26.5703125" bestFit="1" customWidth="1"/>
    <col min="701" max="701" width="23.42578125" bestFit="1" customWidth="1"/>
    <col min="702" max="702" width="26.5703125" bestFit="1" customWidth="1"/>
    <col min="703" max="703" width="23.42578125" bestFit="1" customWidth="1"/>
    <col min="704" max="704" width="26.5703125" bestFit="1" customWidth="1"/>
    <col min="705" max="705" width="23.42578125" bestFit="1" customWidth="1"/>
    <col min="706" max="706" width="26.5703125" bestFit="1" customWidth="1"/>
    <col min="707" max="707" width="26.42578125" bestFit="1" customWidth="1"/>
    <col min="708" max="708" width="29.7109375" bestFit="1" customWidth="1"/>
    <col min="709" max="709" width="26.42578125" bestFit="1" customWidth="1"/>
    <col min="710" max="710" width="29.7109375" bestFit="1" customWidth="1"/>
    <col min="711" max="711" width="21.140625" bestFit="1" customWidth="1"/>
    <col min="712" max="712" width="24.28515625" bestFit="1" customWidth="1"/>
    <col min="713" max="713" width="24.42578125" bestFit="1" customWidth="1"/>
    <col min="714" max="714" width="27.5703125" bestFit="1" customWidth="1"/>
    <col min="715" max="715" width="14.7109375" bestFit="1" customWidth="1"/>
    <col min="716" max="716" width="13.85546875" bestFit="1" customWidth="1"/>
    <col min="717" max="717" width="16.5703125" bestFit="1" customWidth="1"/>
    <col min="718" max="718" width="16.42578125" bestFit="1" customWidth="1"/>
    <col min="719" max="719" width="16.5703125" bestFit="1" customWidth="1"/>
    <col min="720" max="720" width="17.28515625" bestFit="1" customWidth="1"/>
    <col min="721" max="721" width="32.42578125" bestFit="1" customWidth="1"/>
    <col min="722" max="722" width="35.5703125" bestFit="1" customWidth="1"/>
    <col min="723" max="723" width="22.85546875" bestFit="1" customWidth="1"/>
    <col min="724" max="724" width="26.140625" bestFit="1" customWidth="1"/>
    <col min="725" max="725" width="22.85546875" bestFit="1" customWidth="1"/>
    <col min="726" max="726" width="26.140625" bestFit="1" customWidth="1"/>
    <col min="727" max="727" width="23.28515625" bestFit="1" customWidth="1"/>
    <col min="728" max="728" width="26.42578125" bestFit="1" customWidth="1"/>
    <col min="729" max="729" width="16.42578125" bestFit="1" customWidth="1"/>
    <col min="730" max="730" width="17.85546875" bestFit="1" customWidth="1"/>
    <col min="731" max="731" width="16.42578125" bestFit="1" customWidth="1"/>
    <col min="732" max="732" width="17.7109375" bestFit="1" customWidth="1"/>
    <col min="733" max="944" width="176.28515625" bestFit="1" customWidth="1"/>
    <col min="945" max="945" width="12.140625" bestFit="1" customWidth="1"/>
    <col min="946" max="946" width="11.28515625" bestFit="1" customWidth="1"/>
  </cols>
  <sheetData>
    <row r="4" spans="1:1" x14ac:dyDescent="0.25">
      <c r="A4" s="48" t="s">
        <v>1448</v>
      </c>
    </row>
    <row r="5" spans="1:1" x14ac:dyDescent="0.25">
      <c r="A5" s="3" t="s">
        <v>1307</v>
      </c>
    </row>
    <row r="6" spans="1:1" x14ac:dyDescent="0.25">
      <c r="A6" s="49" t="s">
        <v>1299</v>
      </c>
    </row>
    <row r="7" spans="1:1" x14ac:dyDescent="0.25">
      <c r="A7" s="3" t="s">
        <v>1449</v>
      </c>
    </row>
    <row r="8" spans="1:1" x14ac:dyDescent="0.25">
      <c r="A8" s="49" t="s">
        <v>1303</v>
      </c>
    </row>
    <row r="9" spans="1:1" x14ac:dyDescent="0.25">
      <c r="A9" s="3" t="s">
        <v>1295</v>
      </c>
    </row>
    <row r="10" spans="1:1" x14ac:dyDescent="0.25">
      <c r="A10" s="49" t="s">
        <v>1307</v>
      </c>
    </row>
    <row r="11" spans="1:1" x14ac:dyDescent="0.25">
      <c r="A11" s="3" t="s">
        <v>1450</v>
      </c>
    </row>
    <row r="12" spans="1:1" x14ac:dyDescent="0.25">
      <c r="A12" s="49" t="s">
        <v>1295</v>
      </c>
    </row>
    <row r="13" spans="1:1" x14ac:dyDescent="0.25">
      <c r="A13" s="3" t="s">
        <v>1451</v>
      </c>
    </row>
    <row r="14" spans="1:1" x14ac:dyDescent="0.25">
      <c r="A14" s="49" t="s">
        <v>1367</v>
      </c>
    </row>
    <row r="15" spans="1:1" x14ac:dyDescent="0.25">
      <c r="A15" s="3" t="s">
        <v>1367</v>
      </c>
    </row>
    <row r="16" spans="1:1" x14ac:dyDescent="0.25">
      <c r="A16" s="49" t="s">
        <v>1264</v>
      </c>
    </row>
    <row r="17" spans="1:1" x14ac:dyDescent="0.25">
      <c r="A17" s="3" t="s">
        <v>1452</v>
      </c>
    </row>
    <row r="18" spans="1:1" x14ac:dyDescent="0.25">
      <c r="A18" s="49" t="s">
        <v>1319</v>
      </c>
    </row>
    <row r="19" spans="1:1" x14ac:dyDescent="0.25">
      <c r="A19" s="3" t="s">
        <v>1453</v>
      </c>
    </row>
    <row r="20" spans="1:1" x14ac:dyDescent="0.25">
      <c r="A20" s="49" t="s">
        <v>1331</v>
      </c>
    </row>
    <row r="21" spans="1:1" x14ac:dyDescent="0.25">
      <c r="A21" s="3" t="s">
        <v>1454</v>
      </c>
    </row>
    <row r="22" spans="1:1" x14ac:dyDescent="0.25">
      <c r="A22" s="49" t="s">
        <v>1343</v>
      </c>
    </row>
    <row r="23" spans="1:1" x14ac:dyDescent="0.25">
      <c r="A23" s="3" t="s">
        <v>1455</v>
      </c>
    </row>
    <row r="24" spans="1:1" x14ac:dyDescent="0.25">
      <c r="A24" s="49" t="s">
        <v>1201</v>
      </c>
    </row>
    <row r="25" spans="1:1" x14ac:dyDescent="0.25">
      <c r="A25" s="3" t="s">
        <v>1456</v>
      </c>
    </row>
    <row r="26" spans="1:1" x14ac:dyDescent="0.25">
      <c r="A26" s="49" t="s">
        <v>1205</v>
      </c>
    </row>
    <row r="27" spans="1:1" x14ac:dyDescent="0.25">
      <c r="A27" s="3" t="s">
        <v>1457</v>
      </c>
    </row>
    <row r="28" spans="1:1" x14ac:dyDescent="0.25">
      <c r="A28" s="49" t="s">
        <v>1267</v>
      </c>
    </row>
    <row r="29" spans="1:1" x14ac:dyDescent="0.25">
      <c r="A29" s="3" t="s">
        <v>1319</v>
      </c>
    </row>
    <row r="30" spans="1:1" x14ac:dyDescent="0.25">
      <c r="A30" s="49" t="s">
        <v>1287</v>
      </c>
    </row>
    <row r="31" spans="1:1" x14ac:dyDescent="0.25">
      <c r="A31" s="3" t="s">
        <v>1331</v>
      </c>
    </row>
    <row r="32" spans="1:1" x14ac:dyDescent="0.25">
      <c r="A32" s="49" t="s">
        <v>1291</v>
      </c>
    </row>
    <row r="33" spans="1:1" x14ac:dyDescent="0.25">
      <c r="A33" s="3" t="s">
        <v>1343</v>
      </c>
    </row>
    <row r="34" spans="1:1" x14ac:dyDescent="0.25">
      <c r="A34" s="49" t="s">
        <v>1359</v>
      </c>
    </row>
    <row r="35" spans="1:1" x14ac:dyDescent="0.25">
      <c r="A35" s="3" t="s">
        <v>1201</v>
      </c>
    </row>
    <row r="36" spans="1:1" x14ac:dyDescent="0.25">
      <c r="A36" s="49" t="s">
        <v>1347</v>
      </c>
    </row>
    <row r="37" spans="1:1" x14ac:dyDescent="0.25">
      <c r="A37" s="49" t="s">
        <v>1275</v>
      </c>
    </row>
    <row r="38" spans="1:1" x14ac:dyDescent="0.25">
      <c r="A38" s="49" t="s">
        <v>1283</v>
      </c>
    </row>
    <row r="39" spans="1:1" x14ac:dyDescent="0.25">
      <c r="A39" s="3" t="s">
        <v>1205</v>
      </c>
    </row>
    <row r="40" spans="1:1" x14ac:dyDescent="0.25">
      <c r="A40" s="49" t="s">
        <v>1375</v>
      </c>
    </row>
    <row r="41" spans="1:1" x14ac:dyDescent="0.25">
      <c r="A41" s="49" t="s">
        <v>1379</v>
      </c>
    </row>
    <row r="42" spans="1:1" x14ac:dyDescent="0.25">
      <c r="A42" s="49" t="s">
        <v>1383</v>
      </c>
    </row>
    <row r="43" spans="1:1" x14ac:dyDescent="0.25">
      <c r="A43" s="3" t="s">
        <v>1267</v>
      </c>
    </row>
    <row r="44" spans="1:1" x14ac:dyDescent="0.25">
      <c r="A44" s="49" t="s">
        <v>1387</v>
      </c>
    </row>
    <row r="45" spans="1:1" x14ac:dyDescent="0.25">
      <c r="A45" s="3" t="s">
        <v>1458</v>
      </c>
    </row>
    <row r="46" spans="1:1" x14ac:dyDescent="0.25">
      <c r="A46" s="49" t="s">
        <v>1327</v>
      </c>
    </row>
    <row r="47" spans="1:1" x14ac:dyDescent="0.25">
      <c r="A47" s="3" t="s">
        <v>1287</v>
      </c>
    </row>
    <row r="48" spans="1:1" x14ac:dyDescent="0.25">
      <c r="A48" s="49" t="s">
        <v>1323</v>
      </c>
    </row>
    <row r="49" spans="1:1" x14ac:dyDescent="0.25">
      <c r="A49" s="3" t="s">
        <v>1291</v>
      </c>
    </row>
    <row r="50" spans="1:1" x14ac:dyDescent="0.25">
      <c r="A50" s="49" t="s">
        <v>1315</v>
      </c>
    </row>
    <row r="51" spans="1:1" x14ac:dyDescent="0.25">
      <c r="A51" s="3" t="s">
        <v>1359</v>
      </c>
    </row>
    <row r="52" spans="1:1" x14ac:dyDescent="0.25">
      <c r="A52" s="49" t="s">
        <v>1311</v>
      </c>
    </row>
    <row r="53" spans="1:1" x14ac:dyDescent="0.25">
      <c r="A53" s="3" t="s">
        <v>1459</v>
      </c>
    </row>
    <row r="54" spans="1:1" x14ac:dyDescent="0.25">
      <c r="A54" s="49" t="s">
        <v>1335</v>
      </c>
    </row>
    <row r="55" spans="1:1" x14ac:dyDescent="0.25">
      <c r="A55" s="3" t="s">
        <v>1275</v>
      </c>
    </row>
    <row r="56" spans="1:1" x14ac:dyDescent="0.25">
      <c r="A56" s="49" t="s">
        <v>1339</v>
      </c>
    </row>
    <row r="57" spans="1:1" x14ac:dyDescent="0.25">
      <c r="A57" s="3" t="s">
        <v>1283</v>
      </c>
    </row>
    <row r="58" spans="1:1" x14ac:dyDescent="0.25">
      <c r="A58" s="49" t="s">
        <v>1371</v>
      </c>
    </row>
    <row r="59" spans="1:1" x14ac:dyDescent="0.25">
      <c r="A59" s="3" t="s">
        <v>1375</v>
      </c>
    </row>
    <row r="60" spans="1:1" x14ac:dyDescent="0.25">
      <c r="A60" s="49" t="s">
        <v>177</v>
      </c>
    </row>
    <row r="61" spans="1:1" x14ac:dyDescent="0.25">
      <c r="A61" s="3" t="s">
        <v>1460</v>
      </c>
    </row>
    <row r="62" spans="1:1" x14ac:dyDescent="0.25">
      <c r="A62" s="49" t="s">
        <v>180</v>
      </c>
    </row>
    <row r="63" spans="1:1" x14ac:dyDescent="0.25">
      <c r="A63" s="3" t="s">
        <v>1387</v>
      </c>
    </row>
    <row r="64" spans="1:1" x14ac:dyDescent="0.25">
      <c r="A64" s="49" t="s">
        <v>184</v>
      </c>
    </row>
    <row r="65" spans="1:1" x14ac:dyDescent="0.25">
      <c r="A65" s="3" t="s">
        <v>1461</v>
      </c>
    </row>
    <row r="66" spans="1:1" x14ac:dyDescent="0.25">
      <c r="A66" s="49" t="s">
        <v>1351</v>
      </c>
    </row>
    <row r="67" spans="1:1" x14ac:dyDescent="0.25">
      <c r="A67" s="3" t="s">
        <v>1462</v>
      </c>
    </row>
    <row r="68" spans="1:1" x14ac:dyDescent="0.25">
      <c r="A68" s="49" t="s">
        <v>1271</v>
      </c>
    </row>
    <row r="69" spans="1:1" x14ac:dyDescent="0.25">
      <c r="A69" s="3" t="s">
        <v>1327</v>
      </c>
    </row>
    <row r="70" spans="1:1" x14ac:dyDescent="0.25">
      <c r="A70" s="49" t="s">
        <v>1279</v>
      </c>
    </row>
    <row r="71" spans="1:1" x14ac:dyDescent="0.25">
      <c r="A71" s="3" t="s">
        <v>1323</v>
      </c>
    </row>
    <row r="72" spans="1:1" x14ac:dyDescent="0.25">
      <c r="A72" s="49" t="s">
        <v>1355</v>
      </c>
    </row>
    <row r="73" spans="1:1" x14ac:dyDescent="0.25">
      <c r="A73" s="3" t="s">
        <v>1315</v>
      </c>
    </row>
    <row r="74" spans="1:1" x14ac:dyDescent="0.25">
      <c r="A74" s="49" t="s">
        <v>1363</v>
      </c>
    </row>
    <row r="75" spans="1:1" x14ac:dyDescent="0.25">
      <c r="A75" s="3" t="s">
        <v>1311</v>
      </c>
    </row>
    <row r="76" spans="1:1" x14ac:dyDescent="0.25">
      <c r="A76" s="49" t="s">
        <v>765</v>
      </c>
    </row>
    <row r="77" spans="1:1" x14ac:dyDescent="0.25">
      <c r="A77" s="3" t="s">
        <v>1335</v>
      </c>
    </row>
    <row r="78" spans="1:1" x14ac:dyDescent="0.25">
      <c r="A78" s="49" t="s">
        <v>761</v>
      </c>
    </row>
    <row r="79" spans="1:1" x14ac:dyDescent="0.25">
      <c r="A79" s="3" t="s">
        <v>1339</v>
      </c>
    </row>
    <row r="80" spans="1:1" x14ac:dyDescent="0.25">
      <c r="A80" s="49" t="s">
        <v>197</v>
      </c>
    </row>
    <row r="81" spans="1:1" x14ac:dyDescent="0.25">
      <c r="A81" s="3" t="s">
        <v>1371</v>
      </c>
    </row>
    <row r="82" spans="1:1" x14ac:dyDescent="0.25">
      <c r="A82" s="49" t="s">
        <v>200</v>
      </c>
    </row>
    <row r="83" spans="1:1" x14ac:dyDescent="0.25">
      <c r="A83" s="3" t="s">
        <v>1463</v>
      </c>
    </row>
    <row r="84" spans="1:1" x14ac:dyDescent="0.25">
      <c r="A84" s="49" t="s">
        <v>206</v>
      </c>
    </row>
    <row r="85" spans="1:1" x14ac:dyDescent="0.25">
      <c r="A85" s="3" t="s">
        <v>1464</v>
      </c>
    </row>
    <row r="86" spans="1:1" x14ac:dyDescent="0.25">
      <c r="A86" s="49" t="s">
        <v>203</v>
      </c>
    </row>
    <row r="87" spans="1:1" x14ac:dyDescent="0.25">
      <c r="A87" s="3" t="s">
        <v>1465</v>
      </c>
    </row>
    <row r="88" spans="1:1" x14ac:dyDescent="0.25">
      <c r="A88" s="49" t="s">
        <v>215</v>
      </c>
    </row>
    <row r="89" spans="1:1" x14ac:dyDescent="0.25">
      <c r="A89" s="3" t="s">
        <v>177</v>
      </c>
    </row>
    <row r="90" spans="1:1" x14ac:dyDescent="0.25">
      <c r="A90" s="49" t="s">
        <v>212</v>
      </c>
    </row>
    <row r="91" spans="1:1" x14ac:dyDescent="0.25">
      <c r="A91" s="3" t="s">
        <v>180</v>
      </c>
    </row>
    <row r="92" spans="1:1" x14ac:dyDescent="0.25">
      <c r="A92" s="49" t="s">
        <v>209</v>
      </c>
    </row>
    <row r="93" spans="1:1" x14ac:dyDescent="0.25">
      <c r="A93" s="3" t="s">
        <v>184</v>
      </c>
    </row>
    <row r="94" spans="1:1" x14ac:dyDescent="0.25">
      <c r="A94" s="49" t="s">
        <v>236</v>
      </c>
    </row>
    <row r="95" spans="1:1" x14ac:dyDescent="0.25">
      <c r="A95" s="3" t="s">
        <v>1466</v>
      </c>
    </row>
    <row r="96" spans="1:1" x14ac:dyDescent="0.25">
      <c r="A96" s="49" t="s">
        <v>240</v>
      </c>
    </row>
    <row r="97" spans="1:1" x14ac:dyDescent="0.25">
      <c r="A97" s="3" t="s">
        <v>1467</v>
      </c>
    </row>
    <row r="98" spans="1:1" x14ac:dyDescent="0.25">
      <c r="A98" s="49" t="s">
        <v>233</v>
      </c>
    </row>
    <row r="99" spans="1:1" x14ac:dyDescent="0.25">
      <c r="A99" s="3" t="s">
        <v>1468</v>
      </c>
    </row>
    <row r="100" spans="1:1" x14ac:dyDescent="0.25">
      <c r="A100" s="49" t="s">
        <v>230</v>
      </c>
    </row>
    <row r="101" spans="1:1" x14ac:dyDescent="0.25">
      <c r="A101" s="3" t="s">
        <v>1469</v>
      </c>
    </row>
    <row r="102" spans="1:1" x14ac:dyDescent="0.25">
      <c r="A102" s="49" t="s">
        <v>218</v>
      </c>
    </row>
    <row r="103" spans="1:1" x14ac:dyDescent="0.25">
      <c r="A103" s="3" t="s">
        <v>1470</v>
      </c>
    </row>
    <row r="104" spans="1:1" x14ac:dyDescent="0.25">
      <c r="A104" s="49" t="s">
        <v>227</v>
      </c>
    </row>
    <row r="105" spans="1:1" x14ac:dyDescent="0.25">
      <c r="A105" s="3" t="s">
        <v>1471</v>
      </c>
    </row>
    <row r="106" spans="1:1" x14ac:dyDescent="0.25">
      <c r="A106" s="49" t="s">
        <v>224</v>
      </c>
    </row>
    <row r="107" spans="1:1" x14ac:dyDescent="0.25">
      <c r="A107" s="3" t="s">
        <v>1472</v>
      </c>
    </row>
    <row r="108" spans="1:1" x14ac:dyDescent="0.25">
      <c r="A108" s="49" t="s">
        <v>221</v>
      </c>
    </row>
    <row r="109" spans="1:1" x14ac:dyDescent="0.25">
      <c r="A109" s="3" t="s">
        <v>1473</v>
      </c>
    </row>
    <row r="110" spans="1:1" x14ac:dyDescent="0.25">
      <c r="A110" s="49" t="s">
        <v>244</v>
      </c>
    </row>
    <row r="111" spans="1:1" x14ac:dyDescent="0.25">
      <c r="A111" s="3" t="s">
        <v>1474</v>
      </c>
    </row>
    <row r="112" spans="1:1" x14ac:dyDescent="0.25">
      <c r="A112" s="49" t="s">
        <v>248</v>
      </c>
    </row>
    <row r="113" spans="1:1" x14ac:dyDescent="0.25">
      <c r="A113" s="3" t="s">
        <v>1475</v>
      </c>
    </row>
    <row r="114" spans="1:1" x14ac:dyDescent="0.25">
      <c r="A114" s="49" t="s">
        <v>665</v>
      </c>
    </row>
    <row r="115" spans="1:1" x14ac:dyDescent="0.25">
      <c r="A115" s="3" t="s">
        <v>1476</v>
      </c>
    </row>
    <row r="116" spans="1:1" x14ac:dyDescent="0.25">
      <c r="A116" s="49" t="s">
        <v>1148</v>
      </c>
    </row>
    <row r="117" spans="1:1" x14ac:dyDescent="0.25">
      <c r="A117" s="3" t="s">
        <v>1477</v>
      </c>
    </row>
    <row r="118" spans="1:1" x14ac:dyDescent="0.25">
      <c r="A118" s="49" t="s">
        <v>1173</v>
      </c>
    </row>
    <row r="119" spans="1:1" x14ac:dyDescent="0.25">
      <c r="A119" s="3" t="s">
        <v>1478</v>
      </c>
    </row>
    <row r="120" spans="1:1" x14ac:dyDescent="0.25">
      <c r="A120" s="49" t="s">
        <v>1157</v>
      </c>
    </row>
    <row r="121" spans="1:1" x14ac:dyDescent="0.25">
      <c r="A121" s="3" t="s">
        <v>1479</v>
      </c>
    </row>
    <row r="122" spans="1:1" x14ac:dyDescent="0.25">
      <c r="A122" s="49" t="s">
        <v>1260</v>
      </c>
    </row>
    <row r="123" spans="1:1" x14ac:dyDescent="0.25">
      <c r="A123" s="3" t="s">
        <v>1351</v>
      </c>
    </row>
    <row r="124" spans="1:1" x14ac:dyDescent="0.25">
      <c r="A124" s="49" t="s">
        <v>1165</v>
      </c>
    </row>
    <row r="125" spans="1:1" x14ac:dyDescent="0.25">
      <c r="A125" s="3" t="s">
        <v>1480</v>
      </c>
    </row>
    <row r="126" spans="1:1" x14ac:dyDescent="0.25">
      <c r="A126" s="49" t="s">
        <v>1193</v>
      </c>
    </row>
    <row r="127" spans="1:1" x14ac:dyDescent="0.25">
      <c r="A127" s="3" t="s">
        <v>1481</v>
      </c>
    </row>
    <row r="128" spans="1:1" x14ac:dyDescent="0.25">
      <c r="A128" s="49" t="s">
        <v>1197</v>
      </c>
    </row>
    <row r="129" spans="1:1" x14ac:dyDescent="0.25">
      <c r="A129" s="3" t="s">
        <v>1482</v>
      </c>
    </row>
    <row r="130" spans="1:1" x14ac:dyDescent="0.25">
      <c r="A130" s="49" t="s">
        <v>1216</v>
      </c>
    </row>
    <row r="131" spans="1:1" x14ac:dyDescent="0.25">
      <c r="A131" s="3" t="s">
        <v>1483</v>
      </c>
    </row>
    <row r="132" spans="1:1" x14ac:dyDescent="0.25">
      <c r="A132" s="49" t="s">
        <v>172</v>
      </c>
    </row>
    <row r="133" spans="1:1" x14ac:dyDescent="0.25">
      <c r="A133" s="3" t="s">
        <v>1484</v>
      </c>
    </row>
    <row r="134" spans="1:1" x14ac:dyDescent="0.25">
      <c r="A134" s="49" t="s">
        <v>169</v>
      </c>
    </row>
    <row r="135" spans="1:1" x14ac:dyDescent="0.25">
      <c r="A135" s="3" t="s">
        <v>1485</v>
      </c>
    </row>
    <row r="136" spans="1:1" x14ac:dyDescent="0.25">
      <c r="A136" s="49" t="s">
        <v>139</v>
      </c>
    </row>
    <row r="137" spans="1:1" x14ac:dyDescent="0.25">
      <c r="A137" s="3" t="s">
        <v>1486</v>
      </c>
    </row>
    <row r="138" spans="1:1" x14ac:dyDescent="0.25">
      <c r="A138" s="49" t="s">
        <v>166</v>
      </c>
    </row>
    <row r="139" spans="1:1" x14ac:dyDescent="0.25">
      <c r="A139" s="3" t="s">
        <v>1487</v>
      </c>
    </row>
    <row r="140" spans="1:1" x14ac:dyDescent="0.25">
      <c r="A140" s="49" t="s">
        <v>163</v>
      </c>
    </row>
    <row r="141" spans="1:1" x14ac:dyDescent="0.25">
      <c r="A141" s="3" t="s">
        <v>1488</v>
      </c>
    </row>
    <row r="142" spans="1:1" x14ac:dyDescent="0.25">
      <c r="A142" s="49" t="s">
        <v>131</v>
      </c>
    </row>
    <row r="143" spans="1:1" x14ac:dyDescent="0.25">
      <c r="A143" s="3" t="s">
        <v>1489</v>
      </c>
    </row>
    <row r="144" spans="1:1" x14ac:dyDescent="0.25">
      <c r="A144" s="49" t="s">
        <v>134</v>
      </c>
    </row>
    <row r="145" spans="1:1" x14ac:dyDescent="0.25">
      <c r="A145" s="3" t="s">
        <v>1490</v>
      </c>
    </row>
    <row r="146" spans="1:1" x14ac:dyDescent="0.25">
      <c r="A146" s="49" t="s">
        <v>128</v>
      </c>
    </row>
    <row r="147" spans="1:1" x14ac:dyDescent="0.25">
      <c r="A147" s="3" t="s">
        <v>1491</v>
      </c>
    </row>
    <row r="148" spans="1:1" x14ac:dyDescent="0.25">
      <c r="A148" s="49" t="s">
        <v>143</v>
      </c>
    </row>
    <row r="149" spans="1:1" x14ac:dyDescent="0.25">
      <c r="A149" s="3" t="s">
        <v>1492</v>
      </c>
    </row>
    <row r="150" spans="1:1" x14ac:dyDescent="0.25">
      <c r="A150" s="49" t="s">
        <v>1079</v>
      </c>
    </row>
    <row r="151" spans="1:1" x14ac:dyDescent="0.25">
      <c r="A151" s="3" t="s">
        <v>1493</v>
      </c>
    </row>
    <row r="152" spans="1:1" x14ac:dyDescent="0.25">
      <c r="A152" s="49" t="s">
        <v>1091</v>
      </c>
    </row>
    <row r="153" spans="1:1" x14ac:dyDescent="0.25">
      <c r="A153" s="3" t="s">
        <v>1494</v>
      </c>
    </row>
    <row r="154" spans="1:1" x14ac:dyDescent="0.25">
      <c r="A154" s="49" t="s">
        <v>1161</v>
      </c>
    </row>
    <row r="155" spans="1:1" x14ac:dyDescent="0.25">
      <c r="A155" s="3" t="s">
        <v>1495</v>
      </c>
    </row>
    <row r="156" spans="1:1" x14ac:dyDescent="0.25">
      <c r="A156" s="49" t="s">
        <v>157</v>
      </c>
    </row>
    <row r="157" spans="1:1" x14ac:dyDescent="0.25">
      <c r="A157" s="3" t="s">
        <v>1496</v>
      </c>
    </row>
    <row r="158" spans="1:1" x14ac:dyDescent="0.25">
      <c r="A158" s="49" t="s">
        <v>160</v>
      </c>
    </row>
    <row r="159" spans="1:1" x14ac:dyDescent="0.25">
      <c r="A159" s="3" t="s">
        <v>1497</v>
      </c>
    </row>
    <row r="160" spans="1:1" x14ac:dyDescent="0.25">
      <c r="A160" s="49" t="s">
        <v>1083</v>
      </c>
    </row>
    <row r="161" spans="1:1" x14ac:dyDescent="0.25">
      <c r="A161" s="3" t="s">
        <v>1498</v>
      </c>
    </row>
    <row r="162" spans="1:1" x14ac:dyDescent="0.25">
      <c r="A162" s="49" t="s">
        <v>1099</v>
      </c>
    </row>
    <row r="163" spans="1:1" x14ac:dyDescent="0.25">
      <c r="A163" s="3" t="s">
        <v>1499</v>
      </c>
    </row>
    <row r="164" spans="1:1" x14ac:dyDescent="0.25">
      <c r="A164" s="49" t="s">
        <v>1103</v>
      </c>
    </row>
    <row r="165" spans="1:1" x14ac:dyDescent="0.25">
      <c r="A165" s="3" t="s">
        <v>1500</v>
      </c>
    </row>
    <row r="166" spans="1:1" x14ac:dyDescent="0.25">
      <c r="A166" s="49" t="s">
        <v>1111</v>
      </c>
    </row>
    <row r="167" spans="1:1" x14ac:dyDescent="0.25">
      <c r="A167" s="3" t="s">
        <v>1501</v>
      </c>
    </row>
    <row r="168" spans="1:1" x14ac:dyDescent="0.25">
      <c r="A168" s="49" t="s">
        <v>1107</v>
      </c>
    </row>
    <row r="169" spans="1:1" x14ac:dyDescent="0.25">
      <c r="A169" s="3" t="s">
        <v>1502</v>
      </c>
    </row>
    <row r="170" spans="1:1" x14ac:dyDescent="0.25">
      <c r="A170" s="49" t="s">
        <v>1433</v>
      </c>
    </row>
    <row r="171" spans="1:1" x14ac:dyDescent="0.25">
      <c r="A171" s="3" t="s">
        <v>1503</v>
      </c>
    </row>
    <row r="172" spans="1:1" x14ac:dyDescent="0.25">
      <c r="A172" s="49" t="s">
        <v>1437</v>
      </c>
    </row>
    <row r="173" spans="1:1" x14ac:dyDescent="0.25">
      <c r="A173" s="3" t="s">
        <v>1504</v>
      </c>
    </row>
    <row r="174" spans="1:1" x14ac:dyDescent="0.25">
      <c r="A174" s="49" t="s">
        <v>1441</v>
      </c>
    </row>
    <row r="175" spans="1:1" x14ac:dyDescent="0.25">
      <c r="A175" s="3" t="s">
        <v>1271</v>
      </c>
    </row>
    <row r="176" spans="1:1" x14ac:dyDescent="0.25">
      <c r="A176" s="49" t="s">
        <v>137</v>
      </c>
    </row>
    <row r="177" spans="1:1" x14ac:dyDescent="0.25">
      <c r="A177" s="3" t="s">
        <v>1279</v>
      </c>
    </row>
    <row r="178" spans="1:1" x14ac:dyDescent="0.25">
      <c r="A178" s="49" t="s">
        <v>1256</v>
      </c>
    </row>
    <row r="179" spans="1:1" x14ac:dyDescent="0.25">
      <c r="A179" s="3" t="s">
        <v>1505</v>
      </c>
    </row>
    <row r="180" spans="1:1" x14ac:dyDescent="0.25">
      <c r="A180" s="49" t="s">
        <v>1127</v>
      </c>
    </row>
    <row r="181" spans="1:1" x14ac:dyDescent="0.25">
      <c r="A181" s="3" t="s">
        <v>1506</v>
      </c>
    </row>
    <row r="182" spans="1:1" x14ac:dyDescent="0.25">
      <c r="A182" s="49" t="s">
        <v>1123</v>
      </c>
    </row>
    <row r="183" spans="1:1" x14ac:dyDescent="0.25">
      <c r="A183" s="3" t="s">
        <v>1507</v>
      </c>
    </row>
    <row r="184" spans="1:1" x14ac:dyDescent="0.25">
      <c r="A184" s="49" t="s">
        <v>34</v>
      </c>
    </row>
    <row r="185" spans="1:1" x14ac:dyDescent="0.25">
      <c r="A185" s="3" t="s">
        <v>1508</v>
      </c>
    </row>
    <row r="186" spans="1:1" x14ac:dyDescent="0.25">
      <c r="A186" s="49" t="s">
        <v>1189</v>
      </c>
    </row>
    <row r="187" spans="1:1" x14ac:dyDescent="0.25">
      <c r="A187" s="3" t="s">
        <v>1509</v>
      </c>
    </row>
    <row r="188" spans="1:1" x14ac:dyDescent="0.25">
      <c r="A188" s="49" t="s">
        <v>1153</v>
      </c>
    </row>
    <row r="189" spans="1:1" x14ac:dyDescent="0.25">
      <c r="A189" s="3" t="s">
        <v>1510</v>
      </c>
    </row>
    <row r="190" spans="1:1" x14ac:dyDescent="0.25">
      <c r="A190" s="49" t="s">
        <v>1143</v>
      </c>
    </row>
    <row r="191" spans="1:1" x14ac:dyDescent="0.25">
      <c r="A191" s="3" t="s">
        <v>1511</v>
      </c>
    </row>
    <row r="192" spans="1:1" x14ac:dyDescent="0.25">
      <c r="A192" s="49" t="s">
        <v>1135</v>
      </c>
    </row>
    <row r="193" spans="1:1" x14ac:dyDescent="0.25">
      <c r="A193" s="3" t="s">
        <v>1512</v>
      </c>
    </row>
    <row r="194" spans="1:1" x14ac:dyDescent="0.25">
      <c r="A194" s="49" t="s">
        <v>1131</v>
      </c>
    </row>
    <row r="195" spans="1:1" x14ac:dyDescent="0.25">
      <c r="A195" s="3" t="s">
        <v>1513</v>
      </c>
    </row>
    <row r="196" spans="1:1" x14ac:dyDescent="0.25">
      <c r="A196" s="49" t="s">
        <v>1087</v>
      </c>
    </row>
    <row r="197" spans="1:1" x14ac:dyDescent="0.25">
      <c r="A197" s="3" t="s">
        <v>1514</v>
      </c>
    </row>
    <row r="198" spans="1:1" x14ac:dyDescent="0.25">
      <c r="A198" s="49" t="s">
        <v>1095</v>
      </c>
    </row>
    <row r="199" spans="1:1" x14ac:dyDescent="0.25">
      <c r="A199" s="3" t="s">
        <v>1515</v>
      </c>
    </row>
    <row r="200" spans="1:1" x14ac:dyDescent="0.25">
      <c r="A200" s="49" t="s">
        <v>1055</v>
      </c>
    </row>
    <row r="201" spans="1:1" x14ac:dyDescent="0.25">
      <c r="A201" s="3" t="s">
        <v>1355</v>
      </c>
    </row>
    <row r="202" spans="1:1" x14ac:dyDescent="0.25">
      <c r="A202" s="49" t="s">
        <v>1063</v>
      </c>
    </row>
    <row r="203" spans="1:1" x14ac:dyDescent="0.25">
      <c r="A203" s="3" t="s">
        <v>1363</v>
      </c>
    </row>
    <row r="204" spans="1:1" x14ac:dyDescent="0.25">
      <c r="A204" s="49" t="s">
        <v>1071</v>
      </c>
    </row>
    <row r="205" spans="1:1" x14ac:dyDescent="0.25">
      <c r="A205" s="3" t="s">
        <v>1516</v>
      </c>
    </row>
    <row r="206" spans="1:1" x14ac:dyDescent="0.25">
      <c r="A206" s="49" t="s">
        <v>1119</v>
      </c>
    </row>
    <row r="207" spans="1:1" x14ac:dyDescent="0.25">
      <c r="A207" s="3" t="s">
        <v>1517</v>
      </c>
    </row>
    <row r="208" spans="1:1" x14ac:dyDescent="0.25">
      <c r="A208" s="49" t="s">
        <v>1181</v>
      </c>
    </row>
    <row r="209" spans="1:1" x14ac:dyDescent="0.25">
      <c r="A209" s="3" t="s">
        <v>1518</v>
      </c>
    </row>
    <row r="210" spans="1:1" x14ac:dyDescent="0.25">
      <c r="A210" s="49" t="s">
        <v>1139</v>
      </c>
    </row>
    <row r="211" spans="1:1" x14ac:dyDescent="0.25">
      <c r="A211" s="3" t="s">
        <v>1519</v>
      </c>
    </row>
    <row r="212" spans="1:1" x14ac:dyDescent="0.25">
      <c r="A212" s="49" t="s">
        <v>1169</v>
      </c>
    </row>
    <row r="213" spans="1:1" x14ac:dyDescent="0.25">
      <c r="A213" s="3" t="s">
        <v>1520</v>
      </c>
    </row>
    <row r="214" spans="1:1" x14ac:dyDescent="0.25">
      <c r="A214" s="49" t="s">
        <v>1075</v>
      </c>
    </row>
    <row r="215" spans="1:1" x14ac:dyDescent="0.25">
      <c r="A215" s="3" t="s">
        <v>765</v>
      </c>
    </row>
    <row r="216" spans="1:1" x14ac:dyDescent="0.25">
      <c r="A216" s="49" t="s">
        <v>1059</v>
      </c>
    </row>
    <row r="217" spans="1:1" x14ac:dyDescent="0.25">
      <c r="A217" s="3" t="s">
        <v>761</v>
      </c>
    </row>
    <row r="218" spans="1:1" x14ac:dyDescent="0.25">
      <c r="A218" s="49" t="s">
        <v>1067</v>
      </c>
    </row>
    <row r="219" spans="1:1" x14ac:dyDescent="0.25">
      <c r="A219" s="3" t="s">
        <v>197</v>
      </c>
    </row>
    <row r="220" spans="1:1" x14ac:dyDescent="0.25">
      <c r="A220" s="49" t="s">
        <v>1115</v>
      </c>
    </row>
    <row r="221" spans="1:1" x14ac:dyDescent="0.25">
      <c r="A221" s="3" t="s">
        <v>200</v>
      </c>
    </row>
    <row r="222" spans="1:1" x14ac:dyDescent="0.25">
      <c r="A222" s="49" t="s">
        <v>657</v>
      </c>
    </row>
    <row r="223" spans="1:1" x14ac:dyDescent="0.25">
      <c r="A223" s="3" t="s">
        <v>206</v>
      </c>
    </row>
    <row r="224" spans="1:1" x14ac:dyDescent="0.25">
      <c r="A224" s="49" t="s">
        <v>194</v>
      </c>
    </row>
    <row r="225" spans="1:1" x14ac:dyDescent="0.25">
      <c r="A225" s="3" t="s">
        <v>203</v>
      </c>
    </row>
    <row r="226" spans="1:1" x14ac:dyDescent="0.25">
      <c r="A226" s="49" t="s">
        <v>188</v>
      </c>
    </row>
    <row r="227" spans="1:1" x14ac:dyDescent="0.25">
      <c r="A227" s="3" t="s">
        <v>215</v>
      </c>
    </row>
    <row r="228" spans="1:1" x14ac:dyDescent="0.25">
      <c r="A228" s="49" t="s">
        <v>191</v>
      </c>
    </row>
    <row r="229" spans="1:1" x14ac:dyDescent="0.25">
      <c r="A229" s="3" t="s">
        <v>212</v>
      </c>
    </row>
    <row r="230" spans="1:1" x14ac:dyDescent="0.25">
      <c r="A230" s="49" t="s">
        <v>1033</v>
      </c>
    </row>
    <row r="231" spans="1:1" x14ac:dyDescent="0.25">
      <c r="A231" s="3" t="s">
        <v>209</v>
      </c>
    </row>
    <row r="232" spans="1:1" x14ac:dyDescent="0.25">
      <c r="A232" s="49" t="s">
        <v>1244</v>
      </c>
    </row>
    <row r="233" spans="1:1" x14ac:dyDescent="0.25">
      <c r="A233" s="3" t="s">
        <v>236</v>
      </c>
    </row>
    <row r="234" spans="1:1" x14ac:dyDescent="0.25">
      <c r="A234" s="49" t="s">
        <v>1233</v>
      </c>
    </row>
    <row r="235" spans="1:1" x14ac:dyDescent="0.25">
      <c r="A235" s="3" t="s">
        <v>240</v>
      </c>
    </row>
    <row r="236" spans="1:1" x14ac:dyDescent="0.25">
      <c r="A236" s="49" t="s">
        <v>1237</v>
      </c>
    </row>
    <row r="237" spans="1:1" x14ac:dyDescent="0.25">
      <c r="A237" s="3" t="s">
        <v>233</v>
      </c>
    </row>
    <row r="238" spans="1:1" x14ac:dyDescent="0.25">
      <c r="A238" s="49" t="s">
        <v>1248</v>
      </c>
    </row>
    <row r="239" spans="1:1" x14ac:dyDescent="0.25">
      <c r="A239" s="3" t="s">
        <v>230</v>
      </c>
    </row>
    <row r="240" spans="1:1" x14ac:dyDescent="0.25">
      <c r="A240" s="49" t="s">
        <v>1252</v>
      </c>
    </row>
    <row r="241" spans="1:1" x14ac:dyDescent="0.25">
      <c r="A241" s="3" t="s">
        <v>218</v>
      </c>
    </row>
    <row r="242" spans="1:1" x14ac:dyDescent="0.25">
      <c r="A242" s="49" t="s">
        <v>1229</v>
      </c>
    </row>
    <row r="243" spans="1:1" x14ac:dyDescent="0.25">
      <c r="A243" s="3" t="s">
        <v>227</v>
      </c>
    </row>
    <row r="244" spans="1:1" x14ac:dyDescent="0.25">
      <c r="A244" s="49" t="s">
        <v>1213</v>
      </c>
    </row>
    <row r="245" spans="1:1" x14ac:dyDescent="0.25">
      <c r="A245" s="3" t="s">
        <v>224</v>
      </c>
    </row>
    <row r="246" spans="1:1" x14ac:dyDescent="0.25">
      <c r="A246" s="49" t="s">
        <v>1220</v>
      </c>
    </row>
    <row r="247" spans="1:1" x14ac:dyDescent="0.25">
      <c r="A247" s="3" t="s">
        <v>221</v>
      </c>
    </row>
    <row r="248" spans="1:1" x14ac:dyDescent="0.25">
      <c r="A248" s="49" t="s">
        <v>1042</v>
      </c>
    </row>
    <row r="249" spans="1:1" x14ac:dyDescent="0.25">
      <c r="A249" s="3" t="s">
        <v>244</v>
      </c>
    </row>
    <row r="250" spans="1:1" x14ac:dyDescent="0.25">
      <c r="A250" s="49" t="s">
        <v>1051</v>
      </c>
    </row>
    <row r="251" spans="1:1" x14ac:dyDescent="0.25">
      <c r="A251" s="3" t="s">
        <v>248</v>
      </c>
    </row>
    <row r="252" spans="1:1" x14ac:dyDescent="0.25">
      <c r="A252" s="49" t="s">
        <v>1185</v>
      </c>
    </row>
    <row r="253" spans="1:1" x14ac:dyDescent="0.25">
      <c r="A253" s="3" t="s">
        <v>1521</v>
      </c>
    </row>
    <row r="254" spans="1:1" x14ac:dyDescent="0.25">
      <c r="A254" s="49" t="s">
        <v>1177</v>
      </c>
    </row>
    <row r="255" spans="1:1" x14ac:dyDescent="0.25">
      <c r="A255" s="3" t="s">
        <v>1522</v>
      </c>
    </row>
    <row r="256" spans="1:1" x14ac:dyDescent="0.25">
      <c r="A256" s="49" t="s">
        <v>175</v>
      </c>
    </row>
    <row r="257" spans="1:1" x14ac:dyDescent="0.25">
      <c r="A257" s="3" t="s">
        <v>665</v>
      </c>
    </row>
    <row r="258" spans="1:1" x14ac:dyDescent="0.25">
      <c r="A258" s="49" t="s">
        <v>42</v>
      </c>
    </row>
    <row r="259" spans="1:1" x14ac:dyDescent="0.25">
      <c r="A259" s="3" t="s">
        <v>1523</v>
      </c>
    </row>
    <row r="260" spans="1:1" x14ac:dyDescent="0.25">
      <c r="A260" s="49" t="s">
        <v>1407</v>
      </c>
    </row>
    <row r="261" spans="1:1" x14ac:dyDescent="0.25">
      <c r="A261" s="3" t="s">
        <v>1148</v>
      </c>
    </row>
    <row r="262" spans="1:1" x14ac:dyDescent="0.25">
      <c r="A262" s="49" t="s">
        <v>1429</v>
      </c>
    </row>
    <row r="263" spans="1:1" x14ac:dyDescent="0.25">
      <c r="A263" s="3" t="s">
        <v>1524</v>
      </c>
    </row>
    <row r="264" spans="1:1" x14ac:dyDescent="0.25">
      <c r="A264" s="49" t="s">
        <v>1419</v>
      </c>
    </row>
    <row r="265" spans="1:1" x14ac:dyDescent="0.25">
      <c r="A265" s="3" t="s">
        <v>1173</v>
      </c>
    </row>
    <row r="266" spans="1:1" x14ac:dyDescent="0.25">
      <c r="A266" s="49" t="s">
        <v>725</v>
      </c>
    </row>
    <row r="267" spans="1:1" x14ac:dyDescent="0.25">
      <c r="A267" s="3" t="s">
        <v>1525</v>
      </c>
    </row>
    <row r="268" spans="1:1" x14ac:dyDescent="0.25">
      <c r="A268" s="49" t="s">
        <v>721</v>
      </c>
    </row>
    <row r="269" spans="1:1" x14ac:dyDescent="0.25">
      <c r="A269" s="3" t="s">
        <v>1157</v>
      </c>
    </row>
    <row r="270" spans="1:1" x14ac:dyDescent="0.25">
      <c r="A270" s="49" t="s">
        <v>733</v>
      </c>
    </row>
    <row r="271" spans="1:1" x14ac:dyDescent="0.25">
      <c r="A271" s="3" t="s">
        <v>1260</v>
      </c>
    </row>
    <row r="272" spans="1:1" x14ac:dyDescent="0.25">
      <c r="A272" s="49" t="s">
        <v>745</v>
      </c>
    </row>
    <row r="273" spans="1:1" x14ac:dyDescent="0.25">
      <c r="A273" s="3" t="s">
        <v>1165</v>
      </c>
    </row>
    <row r="274" spans="1:1" x14ac:dyDescent="0.25">
      <c r="A274" s="49" t="s">
        <v>749</v>
      </c>
    </row>
    <row r="275" spans="1:1" x14ac:dyDescent="0.25">
      <c r="A275" s="3" t="s">
        <v>1193</v>
      </c>
    </row>
    <row r="276" spans="1:1" x14ac:dyDescent="0.25">
      <c r="A276" s="49" t="s">
        <v>310</v>
      </c>
    </row>
    <row r="277" spans="1:1" x14ac:dyDescent="0.25">
      <c r="A277" s="49" t="s">
        <v>322</v>
      </c>
    </row>
    <row r="278" spans="1:1" x14ac:dyDescent="0.25">
      <c r="A278" s="3" t="s">
        <v>1197</v>
      </c>
    </row>
    <row r="279" spans="1:1" x14ac:dyDescent="0.25">
      <c r="A279" s="49" t="s">
        <v>685</v>
      </c>
    </row>
    <row r="280" spans="1:1" x14ac:dyDescent="0.25">
      <c r="A280" s="49" t="s">
        <v>689</v>
      </c>
    </row>
    <row r="281" spans="1:1" x14ac:dyDescent="0.25">
      <c r="A281" s="49" t="s">
        <v>701</v>
      </c>
    </row>
    <row r="282" spans="1:1" x14ac:dyDescent="0.25">
      <c r="A282" s="3" t="s">
        <v>1216</v>
      </c>
    </row>
    <row r="283" spans="1:1" x14ac:dyDescent="0.25">
      <c r="A283" s="49" t="s">
        <v>713</v>
      </c>
    </row>
    <row r="284" spans="1:1" x14ac:dyDescent="0.25">
      <c r="A284" s="3" t="s">
        <v>172</v>
      </c>
    </row>
    <row r="285" spans="1:1" x14ac:dyDescent="0.25">
      <c r="A285" s="49" t="s">
        <v>709</v>
      </c>
    </row>
    <row r="286" spans="1:1" x14ac:dyDescent="0.25">
      <c r="A286" s="3" t="s">
        <v>169</v>
      </c>
    </row>
    <row r="287" spans="1:1" x14ac:dyDescent="0.25">
      <c r="A287" s="49" t="s">
        <v>278</v>
      </c>
    </row>
    <row r="288" spans="1:1" x14ac:dyDescent="0.25">
      <c r="A288" s="3" t="s">
        <v>166</v>
      </c>
    </row>
    <row r="289" spans="1:1" x14ac:dyDescent="0.25">
      <c r="A289" s="49" t="s">
        <v>290</v>
      </c>
    </row>
    <row r="290" spans="1:1" x14ac:dyDescent="0.25">
      <c r="A290" s="3" t="s">
        <v>163</v>
      </c>
    </row>
    <row r="291" spans="1:1" x14ac:dyDescent="0.25">
      <c r="A291" s="49" t="s">
        <v>302</v>
      </c>
    </row>
    <row r="292" spans="1:1" x14ac:dyDescent="0.25">
      <c r="A292" s="3" t="s">
        <v>131</v>
      </c>
    </row>
    <row r="293" spans="1:1" x14ac:dyDescent="0.25">
      <c r="A293" s="49" t="s">
        <v>306</v>
      </c>
    </row>
    <row r="294" spans="1:1" x14ac:dyDescent="0.25">
      <c r="A294" s="49" t="s">
        <v>681</v>
      </c>
    </row>
    <row r="295" spans="1:1" x14ac:dyDescent="0.25">
      <c r="A295" s="3" t="s">
        <v>134</v>
      </c>
    </row>
    <row r="296" spans="1:1" x14ac:dyDescent="0.25">
      <c r="A296" s="49" t="s">
        <v>697</v>
      </c>
    </row>
    <row r="297" spans="1:1" x14ac:dyDescent="0.25">
      <c r="A297" s="49" t="s">
        <v>693</v>
      </c>
    </row>
    <row r="298" spans="1:1" x14ac:dyDescent="0.25">
      <c r="A298" s="3" t="s">
        <v>1526</v>
      </c>
    </row>
    <row r="299" spans="1:1" x14ac:dyDescent="0.25">
      <c r="A299" s="49" t="s">
        <v>705</v>
      </c>
    </row>
    <row r="300" spans="1:1" x14ac:dyDescent="0.25">
      <c r="A300" s="3" t="s">
        <v>1527</v>
      </c>
    </row>
    <row r="301" spans="1:1" x14ac:dyDescent="0.25">
      <c r="A301" s="49" t="s">
        <v>717</v>
      </c>
    </row>
    <row r="302" spans="1:1" x14ac:dyDescent="0.25">
      <c r="A302" s="49" t="s">
        <v>729</v>
      </c>
    </row>
    <row r="303" spans="1:1" x14ac:dyDescent="0.25">
      <c r="A303" s="3" t="s">
        <v>143</v>
      </c>
    </row>
    <row r="304" spans="1:1" x14ac:dyDescent="0.25">
      <c r="A304" s="49" t="s">
        <v>741</v>
      </c>
    </row>
    <row r="305" spans="1:1" x14ac:dyDescent="0.25">
      <c r="A305" s="3" t="s">
        <v>1079</v>
      </c>
    </row>
    <row r="306" spans="1:1" x14ac:dyDescent="0.25">
      <c r="A306" s="49" t="s">
        <v>757</v>
      </c>
    </row>
    <row r="307" spans="1:1" x14ac:dyDescent="0.25">
      <c r="A307" s="3" t="s">
        <v>1091</v>
      </c>
    </row>
    <row r="308" spans="1:1" x14ac:dyDescent="0.25">
      <c r="A308" s="49" t="s">
        <v>282</v>
      </c>
    </row>
    <row r="309" spans="1:1" x14ac:dyDescent="0.25">
      <c r="A309" s="3" t="s">
        <v>1161</v>
      </c>
    </row>
    <row r="310" spans="1:1" x14ac:dyDescent="0.25">
      <c r="A310" s="49" t="s">
        <v>298</v>
      </c>
    </row>
    <row r="311" spans="1:1" x14ac:dyDescent="0.25">
      <c r="A311" s="3" t="s">
        <v>157</v>
      </c>
    </row>
    <row r="312" spans="1:1" x14ac:dyDescent="0.25">
      <c r="A312" s="49" t="s">
        <v>294</v>
      </c>
    </row>
    <row r="313" spans="1:1" x14ac:dyDescent="0.25">
      <c r="A313" s="3" t="s">
        <v>160</v>
      </c>
    </row>
    <row r="314" spans="1:1" x14ac:dyDescent="0.25">
      <c r="A314" s="49" t="s">
        <v>314</v>
      </c>
    </row>
    <row r="315" spans="1:1" x14ac:dyDescent="0.25">
      <c r="A315" s="3" t="s">
        <v>1083</v>
      </c>
    </row>
    <row r="316" spans="1:1" x14ac:dyDescent="0.25">
      <c r="A316" s="49" t="s">
        <v>318</v>
      </c>
    </row>
    <row r="317" spans="1:1" x14ac:dyDescent="0.25">
      <c r="A317" s="3" t="s">
        <v>1099</v>
      </c>
    </row>
    <row r="318" spans="1:1" x14ac:dyDescent="0.25">
      <c r="A318" s="49" t="s">
        <v>1411</v>
      </c>
    </row>
    <row r="319" spans="1:1" x14ac:dyDescent="0.25">
      <c r="A319" s="3" t="s">
        <v>1103</v>
      </c>
    </row>
    <row r="320" spans="1:1" x14ac:dyDescent="0.25">
      <c r="A320" s="49" t="s">
        <v>1445</v>
      </c>
    </row>
    <row r="321" spans="1:1" x14ac:dyDescent="0.25">
      <c r="A321" s="3" t="s">
        <v>1111</v>
      </c>
    </row>
    <row r="322" spans="1:1" x14ac:dyDescent="0.25">
      <c r="A322" s="49" t="s">
        <v>1423</v>
      </c>
    </row>
    <row r="323" spans="1:1" x14ac:dyDescent="0.25">
      <c r="A323" s="3" t="s">
        <v>1107</v>
      </c>
    </row>
    <row r="324" spans="1:1" x14ac:dyDescent="0.25">
      <c r="A324" s="49" t="s">
        <v>1415</v>
      </c>
    </row>
    <row r="325" spans="1:1" x14ac:dyDescent="0.25">
      <c r="A325" s="3" t="s">
        <v>1127</v>
      </c>
    </row>
    <row r="326" spans="1:1" x14ac:dyDescent="0.25">
      <c r="A326" s="49" t="s">
        <v>737</v>
      </c>
    </row>
    <row r="327" spans="1:1" x14ac:dyDescent="0.25">
      <c r="A327" s="3" t="s">
        <v>1123</v>
      </c>
    </row>
    <row r="328" spans="1:1" x14ac:dyDescent="0.25">
      <c r="A328" s="49" t="s">
        <v>1037</v>
      </c>
    </row>
    <row r="329" spans="1:1" x14ac:dyDescent="0.25">
      <c r="A329" s="3" t="s">
        <v>1528</v>
      </c>
    </row>
    <row r="330" spans="1:1" x14ac:dyDescent="0.25">
      <c r="A330" s="49" t="s">
        <v>958</v>
      </c>
    </row>
    <row r="331" spans="1:1" x14ac:dyDescent="0.25">
      <c r="A331" s="3" t="s">
        <v>1529</v>
      </c>
    </row>
    <row r="332" spans="1:1" x14ac:dyDescent="0.25">
      <c r="A332" s="49" t="s">
        <v>962</v>
      </c>
    </row>
    <row r="333" spans="1:1" x14ac:dyDescent="0.25">
      <c r="A333" s="3" t="s">
        <v>1530</v>
      </c>
    </row>
    <row r="334" spans="1:1" x14ac:dyDescent="0.25">
      <c r="A334" s="49" t="s">
        <v>914</v>
      </c>
    </row>
    <row r="335" spans="1:1" x14ac:dyDescent="0.25">
      <c r="A335" s="3" t="s">
        <v>1531</v>
      </c>
    </row>
    <row r="336" spans="1:1" x14ac:dyDescent="0.25">
      <c r="A336" s="49" t="s">
        <v>918</v>
      </c>
    </row>
    <row r="337" spans="1:1" x14ac:dyDescent="0.25">
      <c r="A337" s="3" t="s">
        <v>1532</v>
      </c>
    </row>
    <row r="338" spans="1:1" x14ac:dyDescent="0.25">
      <c r="A338" s="49" t="s">
        <v>916</v>
      </c>
    </row>
    <row r="339" spans="1:1" x14ac:dyDescent="0.25">
      <c r="A339" s="3" t="s">
        <v>1533</v>
      </c>
    </row>
    <row r="340" spans="1:1" x14ac:dyDescent="0.25">
      <c r="A340" s="49" t="s">
        <v>421</v>
      </c>
    </row>
    <row r="341" spans="1:1" x14ac:dyDescent="0.25">
      <c r="A341" s="3" t="s">
        <v>1534</v>
      </c>
    </row>
    <row r="342" spans="1:1" x14ac:dyDescent="0.25">
      <c r="A342" s="49" t="s">
        <v>413</v>
      </c>
    </row>
    <row r="343" spans="1:1" x14ac:dyDescent="0.25">
      <c r="A343" s="3" t="s">
        <v>1535</v>
      </c>
    </row>
    <row r="344" spans="1:1" x14ac:dyDescent="0.25">
      <c r="A344" s="49" t="s">
        <v>433</v>
      </c>
    </row>
    <row r="345" spans="1:1" x14ac:dyDescent="0.25">
      <c r="A345" s="3" t="s">
        <v>34</v>
      </c>
    </row>
    <row r="346" spans="1:1" x14ac:dyDescent="0.25">
      <c r="A346" s="49" t="s">
        <v>429</v>
      </c>
    </row>
    <row r="347" spans="1:1" x14ac:dyDescent="0.25">
      <c r="A347" s="3" t="s">
        <v>1189</v>
      </c>
    </row>
    <row r="348" spans="1:1" x14ac:dyDescent="0.25">
      <c r="A348" s="49" t="s">
        <v>437</v>
      </c>
    </row>
    <row r="349" spans="1:1" x14ac:dyDescent="0.25">
      <c r="A349" s="3" t="s">
        <v>1153</v>
      </c>
    </row>
    <row r="350" spans="1:1" x14ac:dyDescent="0.25">
      <c r="A350" s="49" t="s">
        <v>150</v>
      </c>
    </row>
    <row r="351" spans="1:1" x14ac:dyDescent="0.25">
      <c r="A351" s="3" t="s">
        <v>1143</v>
      </c>
    </row>
    <row r="352" spans="1:1" x14ac:dyDescent="0.25">
      <c r="A352" s="49" t="s">
        <v>425</v>
      </c>
    </row>
    <row r="353" spans="1:1" x14ac:dyDescent="0.25">
      <c r="A353" s="3" t="s">
        <v>1135</v>
      </c>
    </row>
    <row r="354" spans="1:1" x14ac:dyDescent="0.25">
      <c r="A354" s="49" t="s">
        <v>146</v>
      </c>
    </row>
    <row r="355" spans="1:1" x14ac:dyDescent="0.25">
      <c r="A355" s="3" t="s">
        <v>1131</v>
      </c>
    </row>
    <row r="356" spans="1:1" x14ac:dyDescent="0.25">
      <c r="A356" s="49" t="s">
        <v>417</v>
      </c>
    </row>
    <row r="357" spans="1:1" x14ac:dyDescent="0.25">
      <c r="A357" s="3" t="s">
        <v>1087</v>
      </c>
    </row>
    <row r="358" spans="1:1" x14ac:dyDescent="0.25">
      <c r="A358" s="49" t="s">
        <v>605</v>
      </c>
    </row>
    <row r="359" spans="1:1" x14ac:dyDescent="0.25">
      <c r="A359" s="3" t="s">
        <v>1536</v>
      </c>
    </row>
    <row r="360" spans="1:1" x14ac:dyDescent="0.25">
      <c r="A360" s="49" t="s">
        <v>617</v>
      </c>
    </row>
    <row r="361" spans="1:1" x14ac:dyDescent="0.25">
      <c r="A361" s="3" t="s">
        <v>1537</v>
      </c>
    </row>
    <row r="362" spans="1:1" x14ac:dyDescent="0.25">
      <c r="A362" s="49" t="s">
        <v>445</v>
      </c>
    </row>
    <row r="363" spans="1:1" x14ac:dyDescent="0.25">
      <c r="A363" s="3" t="s">
        <v>1095</v>
      </c>
    </row>
    <row r="364" spans="1:1" x14ac:dyDescent="0.25">
      <c r="A364" s="49" t="s">
        <v>447</v>
      </c>
    </row>
    <row r="365" spans="1:1" x14ac:dyDescent="0.25">
      <c r="A365" s="3" t="s">
        <v>1055</v>
      </c>
    </row>
    <row r="366" spans="1:1" x14ac:dyDescent="0.25">
      <c r="A366" s="49" t="s">
        <v>609</v>
      </c>
    </row>
    <row r="367" spans="1:1" x14ac:dyDescent="0.25">
      <c r="A367" s="3" t="s">
        <v>1063</v>
      </c>
    </row>
    <row r="368" spans="1:1" x14ac:dyDescent="0.25">
      <c r="A368" s="49" t="s">
        <v>621</v>
      </c>
    </row>
    <row r="369" spans="1:1" x14ac:dyDescent="0.25">
      <c r="A369" s="3" t="s">
        <v>1071</v>
      </c>
    </row>
    <row r="370" spans="1:1" x14ac:dyDescent="0.25">
      <c r="A370" s="49" t="s">
        <v>465</v>
      </c>
    </row>
    <row r="371" spans="1:1" x14ac:dyDescent="0.25">
      <c r="A371" s="3" t="s">
        <v>1119</v>
      </c>
    </row>
    <row r="372" spans="1:1" x14ac:dyDescent="0.25">
      <c r="A372" s="49" t="s">
        <v>477</v>
      </c>
    </row>
    <row r="373" spans="1:1" x14ac:dyDescent="0.25">
      <c r="A373" s="3" t="s">
        <v>1181</v>
      </c>
    </row>
    <row r="374" spans="1:1" x14ac:dyDescent="0.25">
      <c r="A374" s="49" t="s">
        <v>388</v>
      </c>
    </row>
    <row r="375" spans="1:1" x14ac:dyDescent="0.25">
      <c r="A375" s="3" t="s">
        <v>1139</v>
      </c>
    </row>
    <row r="376" spans="1:1" x14ac:dyDescent="0.25">
      <c r="A376" s="49" t="s">
        <v>405</v>
      </c>
    </row>
    <row r="377" spans="1:1" x14ac:dyDescent="0.25">
      <c r="A377" s="3" t="s">
        <v>1169</v>
      </c>
    </row>
    <row r="378" spans="1:1" x14ac:dyDescent="0.25">
      <c r="A378" s="49" t="s">
        <v>601</v>
      </c>
    </row>
    <row r="379" spans="1:1" x14ac:dyDescent="0.25">
      <c r="A379" s="3" t="s">
        <v>1075</v>
      </c>
    </row>
    <row r="380" spans="1:1" x14ac:dyDescent="0.25">
      <c r="A380" s="49" t="s">
        <v>613</v>
      </c>
    </row>
    <row r="381" spans="1:1" x14ac:dyDescent="0.25">
      <c r="A381" s="3" t="s">
        <v>1059</v>
      </c>
    </row>
    <row r="382" spans="1:1" x14ac:dyDescent="0.25">
      <c r="A382" s="49" t="s">
        <v>264</v>
      </c>
    </row>
    <row r="383" spans="1:1" x14ac:dyDescent="0.25">
      <c r="A383" s="3" t="s">
        <v>1067</v>
      </c>
    </row>
    <row r="384" spans="1:1" x14ac:dyDescent="0.25">
      <c r="A384" s="49" t="s">
        <v>461</v>
      </c>
    </row>
    <row r="385" spans="1:1" x14ac:dyDescent="0.25">
      <c r="A385" s="3" t="s">
        <v>1115</v>
      </c>
    </row>
    <row r="386" spans="1:1" x14ac:dyDescent="0.25">
      <c r="A386" s="49" t="s">
        <v>469</v>
      </c>
    </row>
    <row r="387" spans="1:1" x14ac:dyDescent="0.25">
      <c r="A387" s="3" t="s">
        <v>657</v>
      </c>
    </row>
    <row r="388" spans="1:1" x14ac:dyDescent="0.25">
      <c r="A388" s="49" t="s">
        <v>384</v>
      </c>
    </row>
    <row r="389" spans="1:1" x14ac:dyDescent="0.25">
      <c r="A389" s="3" t="s">
        <v>1033</v>
      </c>
    </row>
    <row r="390" spans="1:1" x14ac:dyDescent="0.25">
      <c r="A390" s="49" t="s">
        <v>380</v>
      </c>
    </row>
    <row r="391" spans="1:1" x14ac:dyDescent="0.25">
      <c r="A391" s="49" t="s">
        <v>457</v>
      </c>
    </row>
    <row r="392" spans="1:1" x14ac:dyDescent="0.25">
      <c r="A392" s="3" t="s">
        <v>1538</v>
      </c>
    </row>
    <row r="393" spans="1:1" x14ac:dyDescent="0.25">
      <c r="A393" s="49" t="s">
        <v>473</v>
      </c>
    </row>
    <row r="394" spans="1:1" x14ac:dyDescent="0.25">
      <c r="A394" s="3" t="s">
        <v>1244</v>
      </c>
    </row>
    <row r="395" spans="1:1" x14ac:dyDescent="0.25">
      <c r="A395" s="49" t="s">
        <v>777</v>
      </c>
    </row>
    <row r="396" spans="1:1" x14ac:dyDescent="0.25">
      <c r="A396" s="3" t="s">
        <v>1233</v>
      </c>
    </row>
    <row r="397" spans="1:1" x14ac:dyDescent="0.25">
      <c r="A397" s="49" t="s">
        <v>789</v>
      </c>
    </row>
    <row r="398" spans="1:1" x14ac:dyDescent="0.25">
      <c r="A398" s="3" t="s">
        <v>1248</v>
      </c>
    </row>
    <row r="399" spans="1:1" x14ac:dyDescent="0.25">
      <c r="A399" s="49" t="s">
        <v>340</v>
      </c>
    </row>
    <row r="400" spans="1:1" x14ac:dyDescent="0.25">
      <c r="A400" s="3" t="s">
        <v>1252</v>
      </c>
    </row>
    <row r="401" spans="1:1" x14ac:dyDescent="0.25">
      <c r="A401" s="49" t="s">
        <v>769</v>
      </c>
    </row>
    <row r="402" spans="1:1" x14ac:dyDescent="0.25">
      <c r="A402" s="3" t="s">
        <v>1539</v>
      </c>
    </row>
    <row r="403" spans="1:1" x14ac:dyDescent="0.25">
      <c r="A403" s="49" t="s">
        <v>350</v>
      </c>
    </row>
    <row r="404" spans="1:1" x14ac:dyDescent="0.25">
      <c r="A404" s="3" t="s">
        <v>1229</v>
      </c>
    </row>
    <row r="405" spans="1:1" x14ac:dyDescent="0.25">
      <c r="A405" s="49" t="s">
        <v>453</v>
      </c>
    </row>
    <row r="406" spans="1:1" x14ac:dyDescent="0.25">
      <c r="A406" s="3" t="s">
        <v>1540</v>
      </c>
    </row>
    <row r="407" spans="1:1" x14ac:dyDescent="0.25">
      <c r="A407" s="49" t="s">
        <v>781</v>
      </c>
    </row>
    <row r="408" spans="1:1" x14ac:dyDescent="0.25">
      <c r="A408" s="3" t="s">
        <v>1541</v>
      </c>
    </row>
    <row r="409" spans="1:1" x14ac:dyDescent="0.25">
      <c r="A409" s="49" t="s">
        <v>793</v>
      </c>
    </row>
    <row r="410" spans="1:1" x14ac:dyDescent="0.25">
      <c r="A410" s="3" t="s">
        <v>1542</v>
      </c>
    </row>
    <row r="411" spans="1:1" x14ac:dyDescent="0.25">
      <c r="A411" s="49" t="s">
        <v>809</v>
      </c>
    </row>
    <row r="412" spans="1:1" x14ac:dyDescent="0.25">
      <c r="A412" s="3" t="s">
        <v>1213</v>
      </c>
    </row>
    <row r="413" spans="1:1" x14ac:dyDescent="0.25">
      <c r="A413" s="49" t="s">
        <v>273</v>
      </c>
    </row>
    <row r="414" spans="1:1" x14ac:dyDescent="0.25">
      <c r="A414" s="3" t="s">
        <v>1220</v>
      </c>
    </row>
    <row r="415" spans="1:1" x14ac:dyDescent="0.25">
      <c r="A415" s="49" t="s">
        <v>286</v>
      </c>
    </row>
    <row r="416" spans="1:1" x14ac:dyDescent="0.25">
      <c r="A416" s="3" t="s">
        <v>1543</v>
      </c>
    </row>
    <row r="417" spans="1:1" x14ac:dyDescent="0.25">
      <c r="A417" s="49" t="s">
        <v>449</v>
      </c>
    </row>
    <row r="418" spans="1:1" x14ac:dyDescent="0.25">
      <c r="A418" s="3" t="s">
        <v>1042</v>
      </c>
    </row>
    <row r="419" spans="1:1" x14ac:dyDescent="0.25">
      <c r="A419" s="49" t="s">
        <v>785</v>
      </c>
    </row>
    <row r="420" spans="1:1" x14ac:dyDescent="0.25">
      <c r="A420" s="3" t="s">
        <v>1544</v>
      </c>
    </row>
    <row r="421" spans="1:1" x14ac:dyDescent="0.25">
      <c r="A421" s="49" t="s">
        <v>801</v>
      </c>
    </row>
    <row r="422" spans="1:1" x14ac:dyDescent="0.25">
      <c r="A422" s="3" t="s">
        <v>1051</v>
      </c>
    </row>
    <row r="423" spans="1:1" x14ac:dyDescent="0.25">
      <c r="A423" s="49" t="s">
        <v>345</v>
      </c>
    </row>
    <row r="424" spans="1:1" x14ac:dyDescent="0.25">
      <c r="A424" s="3" t="s">
        <v>1545</v>
      </c>
    </row>
    <row r="425" spans="1:1" x14ac:dyDescent="0.25">
      <c r="A425" s="49" t="s">
        <v>103</v>
      </c>
    </row>
    <row r="426" spans="1:1" x14ac:dyDescent="0.25">
      <c r="A426" s="3" t="s">
        <v>1546</v>
      </c>
    </row>
    <row r="427" spans="1:1" x14ac:dyDescent="0.25">
      <c r="A427" s="49" t="s">
        <v>107</v>
      </c>
    </row>
    <row r="428" spans="1:1" x14ac:dyDescent="0.25">
      <c r="A428" s="3" t="s">
        <v>1185</v>
      </c>
    </row>
    <row r="429" spans="1:1" x14ac:dyDescent="0.25">
      <c r="A429" s="49" t="s">
        <v>111</v>
      </c>
    </row>
    <row r="430" spans="1:1" x14ac:dyDescent="0.25">
      <c r="A430" s="3" t="s">
        <v>1177</v>
      </c>
    </row>
    <row r="431" spans="1:1" x14ac:dyDescent="0.25">
      <c r="A431" s="49" t="s">
        <v>116</v>
      </c>
    </row>
    <row r="432" spans="1:1" x14ac:dyDescent="0.25">
      <c r="A432" s="3" t="s">
        <v>42</v>
      </c>
    </row>
    <row r="433" spans="1:1" x14ac:dyDescent="0.25">
      <c r="A433" s="49" t="s">
        <v>118</v>
      </c>
    </row>
    <row r="434" spans="1:1" x14ac:dyDescent="0.25">
      <c r="A434" s="3" t="s">
        <v>1407</v>
      </c>
    </row>
    <row r="435" spans="1:1" x14ac:dyDescent="0.25">
      <c r="A435" s="49" t="s">
        <v>93</v>
      </c>
    </row>
    <row r="436" spans="1:1" x14ac:dyDescent="0.25">
      <c r="A436" s="3" t="s">
        <v>1547</v>
      </c>
    </row>
    <row r="437" spans="1:1" x14ac:dyDescent="0.25">
      <c r="A437" s="49" t="s">
        <v>98</v>
      </c>
    </row>
    <row r="438" spans="1:1" x14ac:dyDescent="0.25">
      <c r="A438" s="3" t="s">
        <v>1548</v>
      </c>
    </row>
    <row r="439" spans="1:1" x14ac:dyDescent="0.25">
      <c r="A439" s="49" t="s">
        <v>120</v>
      </c>
    </row>
    <row r="440" spans="1:1" x14ac:dyDescent="0.25">
      <c r="A440" s="49" t="s">
        <v>124</v>
      </c>
    </row>
    <row r="441" spans="1:1" x14ac:dyDescent="0.25">
      <c r="A441" s="3" t="s">
        <v>1549</v>
      </c>
    </row>
    <row r="442" spans="1:1" x14ac:dyDescent="0.25">
      <c r="A442" s="49" t="s">
        <v>499</v>
      </c>
    </row>
    <row r="443" spans="1:1" x14ac:dyDescent="0.25">
      <c r="A443" s="49" t="s">
        <v>637</v>
      </c>
    </row>
    <row r="444" spans="1:1" x14ac:dyDescent="0.25">
      <c r="A444" s="3" t="s">
        <v>1550</v>
      </c>
    </row>
    <row r="445" spans="1:1" x14ac:dyDescent="0.25">
      <c r="A445" s="49" t="s">
        <v>503</v>
      </c>
    </row>
    <row r="446" spans="1:1" x14ac:dyDescent="0.25">
      <c r="A446" s="3" t="s">
        <v>1551</v>
      </c>
    </row>
    <row r="447" spans="1:1" x14ac:dyDescent="0.25">
      <c r="A447" s="49" t="s">
        <v>649</v>
      </c>
    </row>
    <row r="448" spans="1:1" x14ac:dyDescent="0.25">
      <c r="A448" s="49" t="s">
        <v>486</v>
      </c>
    </row>
    <row r="449" spans="1:1" x14ac:dyDescent="0.25">
      <c r="A449" s="3" t="s">
        <v>1552</v>
      </c>
    </row>
    <row r="450" spans="1:1" x14ac:dyDescent="0.25">
      <c r="A450" s="49" t="s">
        <v>519</v>
      </c>
    </row>
    <row r="451" spans="1:1" x14ac:dyDescent="0.25">
      <c r="A451" s="3" t="s">
        <v>1553</v>
      </c>
    </row>
    <row r="452" spans="1:1" x14ac:dyDescent="0.25">
      <c r="A452" s="49" t="s">
        <v>629</v>
      </c>
    </row>
    <row r="453" spans="1:1" x14ac:dyDescent="0.25">
      <c r="A453" s="3" t="s">
        <v>1554</v>
      </c>
    </row>
    <row r="454" spans="1:1" x14ac:dyDescent="0.25">
      <c r="A454" s="49" t="s">
        <v>523</v>
      </c>
    </row>
    <row r="455" spans="1:1" x14ac:dyDescent="0.25">
      <c r="A455" s="3" t="s">
        <v>1555</v>
      </c>
    </row>
    <row r="456" spans="1:1" x14ac:dyDescent="0.25">
      <c r="A456" s="49" t="s">
        <v>641</v>
      </c>
    </row>
    <row r="457" spans="1:1" x14ac:dyDescent="0.25">
      <c r="A457" s="49" t="s">
        <v>507</v>
      </c>
    </row>
    <row r="458" spans="1:1" x14ac:dyDescent="0.25">
      <c r="A458" s="3" t="s">
        <v>725</v>
      </c>
    </row>
    <row r="459" spans="1:1" x14ac:dyDescent="0.25">
      <c r="A459" s="49" t="s">
        <v>568</v>
      </c>
    </row>
    <row r="460" spans="1:1" x14ac:dyDescent="0.25">
      <c r="A460" s="3" t="s">
        <v>721</v>
      </c>
    </row>
    <row r="461" spans="1:1" x14ac:dyDescent="0.25">
      <c r="A461" s="49" t="s">
        <v>593</v>
      </c>
    </row>
    <row r="462" spans="1:1" x14ac:dyDescent="0.25">
      <c r="A462" s="3" t="s">
        <v>733</v>
      </c>
    </row>
    <row r="463" spans="1:1" x14ac:dyDescent="0.25">
      <c r="A463" s="49" t="s">
        <v>539</v>
      </c>
    </row>
    <row r="464" spans="1:1" x14ac:dyDescent="0.25">
      <c r="A464" s="3" t="s">
        <v>745</v>
      </c>
    </row>
    <row r="465" spans="1:1" x14ac:dyDescent="0.25">
      <c r="A465" s="49" t="s">
        <v>543</v>
      </c>
    </row>
    <row r="466" spans="1:1" x14ac:dyDescent="0.25">
      <c r="A466" s="3" t="s">
        <v>749</v>
      </c>
    </row>
    <row r="467" spans="1:1" x14ac:dyDescent="0.25">
      <c r="A467" s="49" t="s">
        <v>645</v>
      </c>
    </row>
    <row r="468" spans="1:1" x14ac:dyDescent="0.25">
      <c r="A468" s="3" t="s">
        <v>310</v>
      </c>
    </row>
    <row r="469" spans="1:1" x14ac:dyDescent="0.25">
      <c r="A469" s="49" t="s">
        <v>527</v>
      </c>
    </row>
    <row r="470" spans="1:1" x14ac:dyDescent="0.25">
      <c r="A470" s="3" t="s">
        <v>322</v>
      </c>
    </row>
    <row r="471" spans="1:1" x14ac:dyDescent="0.25">
      <c r="A471" s="49" t="s">
        <v>494</v>
      </c>
    </row>
    <row r="472" spans="1:1" x14ac:dyDescent="0.25">
      <c r="A472" s="3" t="s">
        <v>1556</v>
      </c>
    </row>
    <row r="473" spans="1:1" x14ac:dyDescent="0.25">
      <c r="A473" s="49" t="s">
        <v>490</v>
      </c>
    </row>
    <row r="474" spans="1:1" x14ac:dyDescent="0.25">
      <c r="A474" s="3" t="s">
        <v>1557</v>
      </c>
    </row>
    <row r="475" spans="1:1" x14ac:dyDescent="0.25">
      <c r="A475" s="49" t="s">
        <v>515</v>
      </c>
    </row>
    <row r="476" spans="1:1" x14ac:dyDescent="0.25">
      <c r="A476" s="3" t="s">
        <v>685</v>
      </c>
    </row>
    <row r="477" spans="1:1" x14ac:dyDescent="0.25">
      <c r="A477" s="49" t="s">
        <v>511</v>
      </c>
    </row>
    <row r="478" spans="1:1" x14ac:dyDescent="0.25">
      <c r="A478" s="3" t="s">
        <v>689</v>
      </c>
    </row>
    <row r="479" spans="1:1" x14ac:dyDescent="0.25">
      <c r="A479" s="49" t="s">
        <v>564</v>
      </c>
    </row>
    <row r="480" spans="1:1" x14ac:dyDescent="0.25">
      <c r="A480" s="49" t="s">
        <v>535</v>
      </c>
    </row>
    <row r="481" spans="1:1" x14ac:dyDescent="0.25">
      <c r="A481" s="3" t="s">
        <v>701</v>
      </c>
    </row>
    <row r="482" spans="1:1" x14ac:dyDescent="0.25">
      <c r="A482" s="49" t="s">
        <v>585</v>
      </c>
    </row>
    <row r="483" spans="1:1" x14ac:dyDescent="0.25">
      <c r="A483" s="3" t="s">
        <v>713</v>
      </c>
    </row>
    <row r="484" spans="1:1" x14ac:dyDescent="0.25">
      <c r="A484" s="49" t="s">
        <v>625</v>
      </c>
    </row>
    <row r="485" spans="1:1" x14ac:dyDescent="0.25">
      <c r="A485" s="3" t="s">
        <v>709</v>
      </c>
    </row>
    <row r="486" spans="1:1" x14ac:dyDescent="0.25">
      <c r="A486" s="49" t="s">
        <v>580</v>
      </c>
    </row>
    <row r="487" spans="1:1" x14ac:dyDescent="0.25">
      <c r="A487" s="3" t="s">
        <v>278</v>
      </c>
    </row>
    <row r="488" spans="1:1" x14ac:dyDescent="0.25">
      <c r="A488" s="49" t="s">
        <v>597</v>
      </c>
    </row>
    <row r="489" spans="1:1" x14ac:dyDescent="0.25">
      <c r="A489" s="3" t="s">
        <v>290</v>
      </c>
    </row>
    <row r="490" spans="1:1" x14ac:dyDescent="0.25">
      <c r="A490" s="49" t="s">
        <v>555</v>
      </c>
    </row>
    <row r="491" spans="1:1" x14ac:dyDescent="0.25">
      <c r="A491" s="3" t="s">
        <v>302</v>
      </c>
    </row>
    <row r="492" spans="1:1" x14ac:dyDescent="0.25">
      <c r="A492" s="49" t="s">
        <v>551</v>
      </c>
    </row>
    <row r="493" spans="1:1" x14ac:dyDescent="0.25">
      <c r="A493" s="3" t="s">
        <v>306</v>
      </c>
    </row>
    <row r="494" spans="1:1" x14ac:dyDescent="0.25">
      <c r="A494" s="49" t="s">
        <v>633</v>
      </c>
    </row>
    <row r="495" spans="1:1" x14ac:dyDescent="0.25">
      <c r="A495" s="3" t="s">
        <v>681</v>
      </c>
    </row>
    <row r="496" spans="1:1" x14ac:dyDescent="0.25">
      <c r="A496" s="49" t="s">
        <v>572</v>
      </c>
    </row>
    <row r="497" spans="1:1" x14ac:dyDescent="0.25">
      <c r="A497" s="3" t="s">
        <v>693</v>
      </c>
    </row>
    <row r="498" spans="1:1" x14ac:dyDescent="0.25">
      <c r="A498" s="49" t="s">
        <v>653</v>
      </c>
    </row>
    <row r="499" spans="1:1" x14ac:dyDescent="0.25">
      <c r="A499" s="3" t="s">
        <v>705</v>
      </c>
    </row>
    <row r="500" spans="1:1" x14ac:dyDescent="0.25">
      <c r="A500" s="49" t="s">
        <v>547</v>
      </c>
    </row>
    <row r="501" spans="1:1" x14ac:dyDescent="0.25">
      <c r="A501" s="3" t="s">
        <v>717</v>
      </c>
    </row>
    <row r="502" spans="1:1" x14ac:dyDescent="0.25">
      <c r="A502" s="49" t="s">
        <v>401</v>
      </c>
    </row>
    <row r="503" spans="1:1" x14ac:dyDescent="0.25">
      <c r="A503" s="3" t="s">
        <v>729</v>
      </c>
    </row>
    <row r="504" spans="1:1" x14ac:dyDescent="0.25">
      <c r="A504" s="49" t="s">
        <v>531</v>
      </c>
    </row>
    <row r="505" spans="1:1" x14ac:dyDescent="0.25">
      <c r="A505" s="3" t="s">
        <v>741</v>
      </c>
    </row>
    <row r="506" spans="1:1" x14ac:dyDescent="0.25">
      <c r="A506" s="49" t="s">
        <v>560</v>
      </c>
    </row>
    <row r="507" spans="1:1" x14ac:dyDescent="0.25">
      <c r="A507" s="3" t="s">
        <v>757</v>
      </c>
    </row>
    <row r="508" spans="1:1" x14ac:dyDescent="0.25">
      <c r="A508" s="49" t="s">
        <v>576</v>
      </c>
    </row>
    <row r="509" spans="1:1" x14ac:dyDescent="0.25">
      <c r="A509" s="3" t="s">
        <v>282</v>
      </c>
    </row>
    <row r="510" spans="1:1" x14ac:dyDescent="0.25">
      <c r="A510" s="49" t="s">
        <v>589</v>
      </c>
    </row>
    <row r="511" spans="1:1" x14ac:dyDescent="0.25">
      <c r="A511" s="3" t="s">
        <v>298</v>
      </c>
    </row>
    <row r="512" spans="1:1" x14ac:dyDescent="0.25">
      <c r="A512" s="49" t="s">
        <v>934</v>
      </c>
    </row>
    <row r="513" spans="1:1" x14ac:dyDescent="0.25">
      <c r="A513" s="3" t="s">
        <v>294</v>
      </c>
    </row>
    <row r="514" spans="1:1" x14ac:dyDescent="0.25">
      <c r="A514" s="49" t="s">
        <v>905</v>
      </c>
    </row>
    <row r="515" spans="1:1" x14ac:dyDescent="0.25">
      <c r="A515" s="3" t="s">
        <v>314</v>
      </c>
    </row>
    <row r="516" spans="1:1" x14ac:dyDescent="0.25">
      <c r="A516" s="49" t="s">
        <v>817</v>
      </c>
    </row>
    <row r="517" spans="1:1" x14ac:dyDescent="0.25">
      <c r="A517" s="3" t="s">
        <v>318</v>
      </c>
    </row>
    <row r="518" spans="1:1" x14ac:dyDescent="0.25">
      <c r="A518" s="49" t="s">
        <v>661</v>
      </c>
    </row>
    <row r="519" spans="1:1" x14ac:dyDescent="0.25">
      <c r="A519" s="3" t="s">
        <v>737</v>
      </c>
    </row>
    <row r="520" spans="1:1" x14ac:dyDescent="0.25">
      <c r="A520" s="49" t="s">
        <v>921</v>
      </c>
    </row>
    <row r="521" spans="1:1" x14ac:dyDescent="0.25">
      <c r="A521" s="3" t="s">
        <v>1037</v>
      </c>
    </row>
    <row r="522" spans="1:1" x14ac:dyDescent="0.25">
      <c r="A522" s="49" t="s">
        <v>869</v>
      </c>
    </row>
    <row r="523" spans="1:1" x14ac:dyDescent="0.25">
      <c r="A523" s="3" t="s">
        <v>1558</v>
      </c>
    </row>
    <row r="524" spans="1:1" x14ac:dyDescent="0.25">
      <c r="A524" s="49" t="s">
        <v>873</v>
      </c>
    </row>
    <row r="525" spans="1:1" x14ac:dyDescent="0.25">
      <c r="A525" s="3" t="s">
        <v>914</v>
      </c>
    </row>
    <row r="526" spans="1:1" x14ac:dyDescent="0.25">
      <c r="A526" s="49" t="s">
        <v>841</v>
      </c>
    </row>
    <row r="527" spans="1:1" x14ac:dyDescent="0.25">
      <c r="A527" s="3" t="s">
        <v>918</v>
      </c>
    </row>
    <row r="528" spans="1:1" x14ac:dyDescent="0.25">
      <c r="A528" s="49" t="s">
        <v>845</v>
      </c>
    </row>
    <row r="529" spans="1:1" x14ac:dyDescent="0.25">
      <c r="A529" s="3" t="s">
        <v>1559</v>
      </c>
    </row>
    <row r="530" spans="1:1" x14ac:dyDescent="0.25">
      <c r="A530" s="49" t="s">
        <v>849</v>
      </c>
    </row>
    <row r="531" spans="1:1" x14ac:dyDescent="0.25">
      <c r="A531" s="3" t="s">
        <v>916</v>
      </c>
    </row>
    <row r="532" spans="1:1" x14ac:dyDescent="0.25">
      <c r="A532" s="49" t="s">
        <v>853</v>
      </c>
    </row>
    <row r="533" spans="1:1" x14ac:dyDescent="0.25">
      <c r="A533" s="3" t="s">
        <v>421</v>
      </c>
    </row>
    <row r="534" spans="1:1" x14ac:dyDescent="0.25">
      <c r="A534" s="49" t="s">
        <v>857</v>
      </c>
    </row>
    <row r="535" spans="1:1" x14ac:dyDescent="0.25">
      <c r="A535" s="3" t="s">
        <v>1560</v>
      </c>
    </row>
    <row r="536" spans="1:1" x14ac:dyDescent="0.25">
      <c r="A536" s="49" t="s">
        <v>861</v>
      </c>
    </row>
    <row r="537" spans="1:1" x14ac:dyDescent="0.25">
      <c r="A537" s="3" t="s">
        <v>413</v>
      </c>
    </row>
    <row r="538" spans="1:1" x14ac:dyDescent="0.25">
      <c r="A538" s="49" t="s">
        <v>865</v>
      </c>
    </row>
    <row r="539" spans="1:1" x14ac:dyDescent="0.25">
      <c r="A539" s="3" t="s">
        <v>1561</v>
      </c>
    </row>
    <row r="540" spans="1:1" x14ac:dyDescent="0.25">
      <c r="A540" s="49" t="s">
        <v>909</v>
      </c>
    </row>
    <row r="541" spans="1:1" x14ac:dyDescent="0.25">
      <c r="A541" s="3" t="s">
        <v>437</v>
      </c>
    </row>
    <row r="542" spans="1:1" x14ac:dyDescent="0.25">
      <c r="A542" s="49" t="s">
        <v>821</v>
      </c>
    </row>
    <row r="543" spans="1:1" x14ac:dyDescent="0.25">
      <c r="A543" s="3" t="s">
        <v>150</v>
      </c>
    </row>
    <row r="544" spans="1:1" x14ac:dyDescent="0.25">
      <c r="A544" s="49" t="s">
        <v>669</v>
      </c>
    </row>
    <row r="545" spans="1:1" x14ac:dyDescent="0.25">
      <c r="A545" s="49" t="s">
        <v>1024</v>
      </c>
    </row>
    <row r="546" spans="1:1" x14ac:dyDescent="0.25">
      <c r="A546" s="3" t="s">
        <v>1562</v>
      </c>
    </row>
    <row r="547" spans="1:1" x14ac:dyDescent="0.25">
      <c r="A547" s="49" t="s">
        <v>885</v>
      </c>
    </row>
    <row r="548" spans="1:1" x14ac:dyDescent="0.25">
      <c r="A548" s="3" t="s">
        <v>425</v>
      </c>
    </row>
    <row r="549" spans="1:1" x14ac:dyDescent="0.25">
      <c r="A549" s="49" t="s">
        <v>925</v>
      </c>
    </row>
    <row r="550" spans="1:1" x14ac:dyDescent="0.25">
      <c r="A550" s="3" t="s">
        <v>1563</v>
      </c>
    </row>
    <row r="551" spans="1:1" x14ac:dyDescent="0.25">
      <c r="A551" s="49" t="s">
        <v>673</v>
      </c>
    </row>
    <row r="552" spans="1:1" x14ac:dyDescent="0.25">
      <c r="A552" s="3" t="s">
        <v>417</v>
      </c>
    </row>
    <row r="553" spans="1:1" x14ac:dyDescent="0.25">
      <c r="A553" s="49" t="s">
        <v>929</v>
      </c>
    </row>
    <row r="554" spans="1:1" x14ac:dyDescent="0.25">
      <c r="A554" s="3" t="s">
        <v>605</v>
      </c>
    </row>
    <row r="555" spans="1:1" x14ac:dyDescent="0.25">
      <c r="A555" s="49" t="s">
        <v>829</v>
      </c>
    </row>
    <row r="556" spans="1:1" x14ac:dyDescent="0.25">
      <c r="A556" s="3" t="s">
        <v>617</v>
      </c>
    </row>
    <row r="557" spans="1:1" x14ac:dyDescent="0.25">
      <c r="A557" s="49" t="s">
        <v>833</v>
      </c>
    </row>
    <row r="558" spans="1:1" x14ac:dyDescent="0.25">
      <c r="A558" s="3" t="s">
        <v>445</v>
      </c>
    </row>
    <row r="559" spans="1:1" x14ac:dyDescent="0.25">
      <c r="A559" s="49" t="s">
        <v>677</v>
      </c>
    </row>
    <row r="560" spans="1:1" x14ac:dyDescent="0.25">
      <c r="A560" s="3" t="s">
        <v>447</v>
      </c>
    </row>
    <row r="561" spans="1:1" x14ac:dyDescent="0.25">
      <c r="A561" s="49" t="s">
        <v>877</v>
      </c>
    </row>
    <row r="562" spans="1:1" x14ac:dyDescent="0.25">
      <c r="A562" s="3" t="s">
        <v>1564</v>
      </c>
    </row>
    <row r="563" spans="1:1" x14ac:dyDescent="0.25">
      <c r="A563" s="49" t="s">
        <v>825</v>
      </c>
    </row>
    <row r="564" spans="1:1" x14ac:dyDescent="0.25">
      <c r="A564" s="3" t="s">
        <v>1565</v>
      </c>
    </row>
    <row r="565" spans="1:1" x14ac:dyDescent="0.25">
      <c r="A565" s="49" t="s">
        <v>837</v>
      </c>
    </row>
    <row r="566" spans="1:1" x14ac:dyDescent="0.25">
      <c r="A566" s="3" t="s">
        <v>609</v>
      </c>
    </row>
    <row r="567" spans="1:1" x14ac:dyDescent="0.25">
      <c r="A567" s="49" t="s">
        <v>376</v>
      </c>
    </row>
    <row r="568" spans="1:1" x14ac:dyDescent="0.25">
      <c r="A568" s="3" t="s">
        <v>621</v>
      </c>
    </row>
    <row r="569" spans="1:1" x14ac:dyDescent="0.25">
      <c r="A569" s="49" t="s">
        <v>881</v>
      </c>
    </row>
    <row r="570" spans="1:1" x14ac:dyDescent="0.25">
      <c r="A570" s="3" t="s">
        <v>465</v>
      </c>
    </row>
    <row r="571" spans="1:1" x14ac:dyDescent="0.25">
      <c r="A571" s="49" t="s">
        <v>368</v>
      </c>
    </row>
    <row r="572" spans="1:1" x14ac:dyDescent="0.25">
      <c r="A572" s="3" t="s">
        <v>477</v>
      </c>
    </row>
    <row r="573" spans="1:1" x14ac:dyDescent="0.25">
      <c r="A573" s="49" t="s">
        <v>326</v>
      </c>
    </row>
    <row r="574" spans="1:1" x14ac:dyDescent="0.25">
      <c r="A574" s="3" t="s">
        <v>388</v>
      </c>
    </row>
    <row r="575" spans="1:1" x14ac:dyDescent="0.25">
      <c r="A575" s="49" t="s">
        <v>260</v>
      </c>
    </row>
    <row r="576" spans="1:1" x14ac:dyDescent="0.25">
      <c r="A576" s="3" t="s">
        <v>405</v>
      </c>
    </row>
    <row r="577" spans="1:1" x14ac:dyDescent="0.25">
      <c r="A577" s="49" t="s">
        <v>364</v>
      </c>
    </row>
    <row r="578" spans="1:1" x14ac:dyDescent="0.25">
      <c r="A578" s="3" t="s">
        <v>601</v>
      </c>
    </row>
    <row r="579" spans="1:1" x14ac:dyDescent="0.25">
      <c r="A579" s="49" t="s">
        <v>372</v>
      </c>
    </row>
    <row r="580" spans="1:1" x14ac:dyDescent="0.25">
      <c r="A580" s="3" t="s">
        <v>613</v>
      </c>
    </row>
    <row r="581" spans="1:1" x14ac:dyDescent="0.25">
      <c r="A581" s="49" t="s">
        <v>268</v>
      </c>
    </row>
    <row r="582" spans="1:1" x14ac:dyDescent="0.25">
      <c r="A582" s="3" t="s">
        <v>1566</v>
      </c>
    </row>
    <row r="583" spans="1:1" x14ac:dyDescent="0.25">
      <c r="A583" s="49" t="s">
        <v>1224</v>
      </c>
    </row>
    <row r="584" spans="1:1" x14ac:dyDescent="0.25">
      <c r="A584" s="3" t="s">
        <v>264</v>
      </c>
    </row>
    <row r="585" spans="1:1" x14ac:dyDescent="0.25">
      <c r="A585" s="49" t="s">
        <v>1209</v>
      </c>
    </row>
    <row r="586" spans="1:1" x14ac:dyDescent="0.25">
      <c r="A586" s="49" t="s">
        <v>974</v>
      </c>
    </row>
    <row r="587" spans="1:1" x14ac:dyDescent="0.25">
      <c r="A587" s="3" t="s">
        <v>1567</v>
      </c>
    </row>
    <row r="588" spans="1:1" x14ac:dyDescent="0.25">
      <c r="A588" s="49" t="s">
        <v>256</v>
      </c>
    </row>
    <row r="589" spans="1:1" x14ac:dyDescent="0.25">
      <c r="A589" s="3" t="s">
        <v>461</v>
      </c>
    </row>
    <row r="590" spans="1:1" x14ac:dyDescent="0.25">
      <c r="A590" s="49" t="s">
        <v>252</v>
      </c>
    </row>
    <row r="591" spans="1:1" x14ac:dyDescent="0.25">
      <c r="A591" s="3" t="s">
        <v>469</v>
      </c>
    </row>
    <row r="592" spans="1:1" x14ac:dyDescent="0.25">
      <c r="A592" s="49" t="s">
        <v>13</v>
      </c>
    </row>
    <row r="593" spans="1:1" x14ac:dyDescent="0.25">
      <c r="A593" s="3" t="s">
        <v>384</v>
      </c>
    </row>
    <row r="594" spans="1:1" x14ac:dyDescent="0.25">
      <c r="A594" s="49" t="s">
        <v>1427</v>
      </c>
    </row>
    <row r="595" spans="1:1" x14ac:dyDescent="0.25">
      <c r="A595" s="3" t="s">
        <v>380</v>
      </c>
    </row>
    <row r="596" spans="1:1" x14ac:dyDescent="0.25">
      <c r="A596" s="49" t="s">
        <v>893</v>
      </c>
    </row>
    <row r="597" spans="1:1" x14ac:dyDescent="0.25">
      <c r="A597" s="3" t="s">
        <v>1568</v>
      </c>
    </row>
    <row r="598" spans="1:1" x14ac:dyDescent="0.25">
      <c r="A598" s="49" t="s">
        <v>897</v>
      </c>
    </row>
    <row r="599" spans="1:1" x14ac:dyDescent="0.25">
      <c r="A599" s="3" t="s">
        <v>1569</v>
      </c>
    </row>
    <row r="600" spans="1:1" x14ac:dyDescent="0.25">
      <c r="A600" s="49" t="s">
        <v>901</v>
      </c>
    </row>
    <row r="601" spans="1:1" x14ac:dyDescent="0.25">
      <c r="A601" s="3" t="s">
        <v>457</v>
      </c>
    </row>
    <row r="602" spans="1:1" x14ac:dyDescent="0.25">
      <c r="A602" s="49" t="s">
        <v>996</v>
      </c>
    </row>
    <row r="603" spans="1:1" x14ac:dyDescent="0.25">
      <c r="A603" s="3" t="s">
        <v>473</v>
      </c>
    </row>
    <row r="604" spans="1:1" x14ac:dyDescent="0.25">
      <c r="A604" s="49" t="s">
        <v>992</v>
      </c>
    </row>
    <row r="605" spans="1:1" x14ac:dyDescent="0.25">
      <c r="A605" s="3" t="s">
        <v>777</v>
      </c>
    </row>
    <row r="606" spans="1:1" x14ac:dyDescent="0.25">
      <c r="A606" s="49" t="s">
        <v>1000</v>
      </c>
    </row>
    <row r="607" spans="1:1" x14ac:dyDescent="0.25">
      <c r="A607" s="3" t="s">
        <v>789</v>
      </c>
    </row>
    <row r="608" spans="1:1" x14ac:dyDescent="0.25">
      <c r="A608" s="49" t="s">
        <v>980</v>
      </c>
    </row>
    <row r="609" spans="1:1" x14ac:dyDescent="0.25">
      <c r="A609" s="3" t="s">
        <v>340</v>
      </c>
    </row>
    <row r="610" spans="1:1" x14ac:dyDescent="0.25">
      <c r="A610" s="49" t="s">
        <v>984</v>
      </c>
    </row>
    <row r="611" spans="1:1" x14ac:dyDescent="0.25">
      <c r="A611" s="3" t="s">
        <v>769</v>
      </c>
    </row>
    <row r="612" spans="1:1" x14ac:dyDescent="0.25">
      <c r="A612" s="49" t="s">
        <v>938</v>
      </c>
    </row>
    <row r="613" spans="1:1" x14ac:dyDescent="0.25">
      <c r="A613" s="3" t="s">
        <v>350</v>
      </c>
    </row>
    <row r="614" spans="1:1" x14ac:dyDescent="0.25">
      <c r="A614" s="49" t="s">
        <v>946</v>
      </c>
    </row>
    <row r="615" spans="1:1" x14ac:dyDescent="0.25">
      <c r="A615" s="3" t="s">
        <v>453</v>
      </c>
    </row>
    <row r="616" spans="1:1" x14ac:dyDescent="0.25">
      <c r="A616" s="49" t="s">
        <v>988</v>
      </c>
    </row>
    <row r="617" spans="1:1" x14ac:dyDescent="0.25">
      <c r="A617" s="3" t="s">
        <v>781</v>
      </c>
    </row>
    <row r="618" spans="1:1" x14ac:dyDescent="0.25">
      <c r="A618" s="49" t="s">
        <v>1008</v>
      </c>
    </row>
    <row r="619" spans="1:1" x14ac:dyDescent="0.25">
      <c r="A619" s="3" t="s">
        <v>793</v>
      </c>
    </row>
    <row r="620" spans="1:1" x14ac:dyDescent="0.25">
      <c r="A620" s="49" t="s">
        <v>1012</v>
      </c>
    </row>
    <row r="621" spans="1:1" x14ac:dyDescent="0.25">
      <c r="A621" s="3" t="s">
        <v>809</v>
      </c>
    </row>
    <row r="622" spans="1:1" x14ac:dyDescent="0.25">
      <c r="A622" s="49" t="s">
        <v>1004</v>
      </c>
    </row>
    <row r="623" spans="1:1" x14ac:dyDescent="0.25">
      <c r="A623" s="3" t="s">
        <v>273</v>
      </c>
    </row>
    <row r="624" spans="1:1" x14ac:dyDescent="0.25">
      <c r="A624" s="49" t="s">
        <v>1016</v>
      </c>
    </row>
    <row r="625" spans="1:1" x14ac:dyDescent="0.25">
      <c r="A625" s="3" t="s">
        <v>286</v>
      </c>
    </row>
    <row r="626" spans="1:1" x14ac:dyDescent="0.25">
      <c r="A626" s="49" t="s">
        <v>1020</v>
      </c>
    </row>
    <row r="627" spans="1:1" x14ac:dyDescent="0.25">
      <c r="A627" s="3" t="s">
        <v>449</v>
      </c>
    </row>
    <row r="628" spans="1:1" x14ac:dyDescent="0.25">
      <c r="A628" s="49" t="s">
        <v>1028</v>
      </c>
    </row>
    <row r="629" spans="1:1" x14ac:dyDescent="0.25">
      <c r="A629" s="3" t="s">
        <v>785</v>
      </c>
    </row>
    <row r="630" spans="1:1" x14ac:dyDescent="0.25">
      <c r="A630" s="49" t="s">
        <v>942</v>
      </c>
    </row>
    <row r="631" spans="1:1" x14ac:dyDescent="0.25">
      <c r="A631" s="3" t="s">
        <v>801</v>
      </c>
    </row>
    <row r="632" spans="1:1" x14ac:dyDescent="0.25">
      <c r="A632" s="49" t="s">
        <v>950</v>
      </c>
    </row>
    <row r="633" spans="1:1" x14ac:dyDescent="0.25">
      <c r="A633" s="3" t="s">
        <v>345</v>
      </c>
    </row>
    <row r="634" spans="1:1" x14ac:dyDescent="0.25">
      <c r="A634" s="49" t="s">
        <v>954</v>
      </c>
    </row>
    <row r="635" spans="1:1" x14ac:dyDescent="0.25">
      <c r="A635" s="3" t="s">
        <v>1570</v>
      </c>
    </row>
    <row r="636" spans="1:1" x14ac:dyDescent="0.25">
      <c r="A636" s="49" t="s">
        <v>38</v>
      </c>
    </row>
    <row r="637" spans="1:1" x14ac:dyDescent="0.25">
      <c r="A637" s="3" t="s">
        <v>1571</v>
      </c>
    </row>
    <row r="638" spans="1:1" x14ac:dyDescent="0.25">
      <c r="A638" s="49" t="s">
        <v>80</v>
      </c>
    </row>
    <row r="639" spans="1:1" x14ac:dyDescent="0.25">
      <c r="A639" s="3" t="s">
        <v>103</v>
      </c>
    </row>
    <row r="640" spans="1:1" x14ac:dyDescent="0.25">
      <c r="A640" s="49" t="s">
        <v>88</v>
      </c>
    </row>
    <row r="641" spans="1:1" x14ac:dyDescent="0.25">
      <c r="A641" s="3" t="s">
        <v>107</v>
      </c>
    </row>
    <row r="642" spans="1:1" x14ac:dyDescent="0.25">
      <c r="A642" s="49" t="s">
        <v>84</v>
      </c>
    </row>
    <row r="643" spans="1:1" x14ac:dyDescent="0.25">
      <c r="A643" s="3" t="s">
        <v>111</v>
      </c>
    </row>
    <row r="644" spans="1:1" x14ac:dyDescent="0.25">
      <c r="A644" s="49" t="s">
        <v>59</v>
      </c>
    </row>
    <row r="645" spans="1:1" x14ac:dyDescent="0.25">
      <c r="A645" s="3" t="s">
        <v>1572</v>
      </c>
    </row>
    <row r="646" spans="1:1" x14ac:dyDescent="0.25">
      <c r="A646" s="49" t="s">
        <v>154</v>
      </c>
    </row>
    <row r="647" spans="1:1" x14ac:dyDescent="0.25">
      <c r="A647" s="3" t="s">
        <v>1573</v>
      </c>
    </row>
    <row r="648" spans="1:1" x14ac:dyDescent="0.25">
      <c r="A648" s="49" t="s">
        <v>77</v>
      </c>
    </row>
    <row r="649" spans="1:1" x14ac:dyDescent="0.25">
      <c r="A649" s="3" t="s">
        <v>116</v>
      </c>
    </row>
    <row r="650" spans="1:1" x14ac:dyDescent="0.25">
      <c r="A650" s="49" t="s">
        <v>68</v>
      </c>
    </row>
    <row r="651" spans="1:1" x14ac:dyDescent="0.25">
      <c r="A651" s="3" t="s">
        <v>118</v>
      </c>
    </row>
    <row r="652" spans="1:1" x14ac:dyDescent="0.25">
      <c r="A652" s="49" t="s">
        <v>441</v>
      </c>
    </row>
    <row r="653" spans="1:1" x14ac:dyDescent="0.25">
      <c r="A653" s="3" t="s">
        <v>93</v>
      </c>
    </row>
    <row r="654" spans="1:1" x14ac:dyDescent="0.25">
      <c r="A654" s="49" t="s">
        <v>51</v>
      </c>
    </row>
    <row r="655" spans="1:1" x14ac:dyDescent="0.25">
      <c r="A655" s="3" t="s">
        <v>98</v>
      </c>
    </row>
    <row r="656" spans="1:1" x14ac:dyDescent="0.25">
      <c r="A656" s="49" t="s">
        <v>1240</v>
      </c>
    </row>
    <row r="657" spans="1:1" x14ac:dyDescent="0.25">
      <c r="A657" s="3" t="s">
        <v>120</v>
      </c>
    </row>
    <row r="658" spans="1:1" x14ac:dyDescent="0.25">
      <c r="A658" s="49" t="s">
        <v>331</v>
      </c>
    </row>
    <row r="659" spans="1:1" x14ac:dyDescent="0.25">
      <c r="A659" s="3" t="s">
        <v>124</v>
      </c>
    </row>
    <row r="660" spans="1:1" x14ac:dyDescent="0.25">
      <c r="A660" s="49" t="s">
        <v>1391</v>
      </c>
    </row>
    <row r="661" spans="1:1" x14ac:dyDescent="0.25">
      <c r="A661" s="3" t="s">
        <v>1574</v>
      </c>
    </row>
    <row r="662" spans="1:1" x14ac:dyDescent="0.25">
      <c r="A662" s="49" t="s">
        <v>481</v>
      </c>
    </row>
    <row r="663" spans="1:1" x14ac:dyDescent="0.25">
      <c r="A663" s="3" t="s">
        <v>1575</v>
      </c>
    </row>
    <row r="664" spans="1:1" x14ac:dyDescent="0.25">
      <c r="A664" s="49" t="s">
        <v>1395</v>
      </c>
    </row>
    <row r="665" spans="1:1" x14ac:dyDescent="0.25">
      <c r="A665" s="3" t="s">
        <v>1576</v>
      </c>
    </row>
    <row r="666" spans="1:1" x14ac:dyDescent="0.25">
      <c r="A666" s="49" t="s">
        <v>1403</v>
      </c>
    </row>
    <row r="667" spans="1:1" x14ac:dyDescent="0.25">
      <c r="A667" s="3" t="s">
        <v>1577</v>
      </c>
    </row>
    <row r="668" spans="1:1" x14ac:dyDescent="0.25">
      <c r="A668" s="49" t="s">
        <v>1399</v>
      </c>
    </row>
    <row r="669" spans="1:1" x14ac:dyDescent="0.25">
      <c r="A669" s="3" t="s">
        <v>499</v>
      </c>
    </row>
    <row r="670" spans="1:1" x14ac:dyDescent="0.25">
      <c r="A670" s="49" t="s">
        <v>805</v>
      </c>
    </row>
    <row r="671" spans="1:1" x14ac:dyDescent="0.25">
      <c r="A671" s="3" t="s">
        <v>1578</v>
      </c>
    </row>
    <row r="672" spans="1:1" x14ac:dyDescent="0.25">
      <c r="A672" s="49" t="s">
        <v>336</v>
      </c>
    </row>
    <row r="673" spans="1:1" x14ac:dyDescent="0.25">
      <c r="A673" s="3" t="s">
        <v>503</v>
      </c>
    </row>
    <row r="674" spans="1:1" x14ac:dyDescent="0.25">
      <c r="A674" s="49" t="s">
        <v>773</v>
      </c>
    </row>
    <row r="675" spans="1:1" x14ac:dyDescent="0.25">
      <c r="A675" s="3" t="s">
        <v>1579</v>
      </c>
    </row>
    <row r="676" spans="1:1" x14ac:dyDescent="0.25">
      <c r="A676" s="49" t="s">
        <v>797</v>
      </c>
    </row>
    <row r="677" spans="1:1" x14ac:dyDescent="0.25">
      <c r="A677" s="49" t="s">
        <v>813</v>
      </c>
    </row>
    <row r="678" spans="1:1" x14ac:dyDescent="0.25">
      <c r="A678" s="3" t="s">
        <v>486</v>
      </c>
    </row>
    <row r="679" spans="1:1" x14ac:dyDescent="0.25">
      <c r="A679" s="49" t="s">
        <v>359</v>
      </c>
    </row>
    <row r="680" spans="1:1" x14ac:dyDescent="0.25">
      <c r="A680" s="3" t="s">
        <v>1580</v>
      </c>
    </row>
    <row r="681" spans="1:1" x14ac:dyDescent="0.25">
      <c r="A681" s="49" t="s">
        <v>355</v>
      </c>
    </row>
    <row r="682" spans="1:1" x14ac:dyDescent="0.25">
      <c r="A682" s="3" t="s">
        <v>519</v>
      </c>
    </row>
    <row r="683" spans="1:1" x14ac:dyDescent="0.25">
      <c r="A683" s="49" t="s">
        <v>889</v>
      </c>
    </row>
    <row r="684" spans="1:1" x14ac:dyDescent="0.25">
      <c r="A684" s="3" t="s">
        <v>1581</v>
      </c>
    </row>
    <row r="685" spans="1:1" x14ac:dyDescent="0.25">
      <c r="A685" s="49" t="s">
        <v>1046</v>
      </c>
    </row>
    <row r="686" spans="1:1" x14ac:dyDescent="0.25">
      <c r="A686" s="3" t="s">
        <v>523</v>
      </c>
    </row>
    <row r="687" spans="1:1" x14ac:dyDescent="0.25">
      <c r="A687" s="49" t="s">
        <v>970</v>
      </c>
    </row>
    <row r="688" spans="1:1" x14ac:dyDescent="0.25">
      <c r="A688" s="3" t="s">
        <v>1582</v>
      </c>
    </row>
    <row r="689" spans="1:1" x14ac:dyDescent="0.25">
      <c r="A689" s="49" t="s">
        <v>976</v>
      </c>
    </row>
    <row r="690" spans="1:1" x14ac:dyDescent="0.25">
      <c r="A690" s="3" t="s">
        <v>507</v>
      </c>
    </row>
    <row r="691" spans="1:1" x14ac:dyDescent="0.25">
      <c r="A691" s="49" t="s">
        <v>966</v>
      </c>
    </row>
    <row r="692" spans="1:1" x14ac:dyDescent="0.25">
      <c r="A692" s="3" t="s">
        <v>568</v>
      </c>
    </row>
    <row r="693" spans="1:1" x14ac:dyDescent="0.25">
      <c r="A693" s="49" t="s">
        <v>73</v>
      </c>
    </row>
    <row r="694" spans="1:1" x14ac:dyDescent="0.25">
      <c r="A694" s="3" t="s">
        <v>593</v>
      </c>
    </row>
    <row r="695" spans="1:1" x14ac:dyDescent="0.25">
      <c r="A695" s="49" t="s">
        <v>753</v>
      </c>
    </row>
    <row r="696" spans="1:1" x14ac:dyDescent="0.25">
      <c r="A696" s="3" t="s">
        <v>1583</v>
      </c>
    </row>
    <row r="697" spans="1:1" x14ac:dyDescent="0.25">
      <c r="A697" s="49" t="s">
        <v>64</v>
      </c>
    </row>
    <row r="698" spans="1:1" x14ac:dyDescent="0.25">
      <c r="A698" s="3" t="s">
        <v>539</v>
      </c>
    </row>
    <row r="699" spans="1:1" x14ac:dyDescent="0.25">
      <c r="A699" s="49" t="s">
        <v>25</v>
      </c>
    </row>
    <row r="700" spans="1:1" x14ac:dyDescent="0.25">
      <c r="A700" s="3" t="s">
        <v>1584</v>
      </c>
    </row>
    <row r="701" spans="1:1" x14ac:dyDescent="0.25">
      <c r="A701" s="49" t="s">
        <v>29</v>
      </c>
    </row>
    <row r="702" spans="1:1" x14ac:dyDescent="0.25">
      <c r="A702" s="3" t="s">
        <v>543</v>
      </c>
    </row>
    <row r="703" spans="1:1" x14ac:dyDescent="0.25">
      <c r="A703" s="49" t="s">
        <v>17</v>
      </c>
    </row>
    <row r="704" spans="1:1" x14ac:dyDescent="0.25">
      <c r="A704" s="3" t="s">
        <v>527</v>
      </c>
    </row>
    <row r="705" spans="1:1" x14ac:dyDescent="0.25">
      <c r="A705" s="49" t="s">
        <v>21</v>
      </c>
    </row>
    <row r="706" spans="1:1" x14ac:dyDescent="0.25">
      <c r="A706" s="3" t="s">
        <v>1585</v>
      </c>
    </row>
    <row r="707" spans="1:1" x14ac:dyDescent="0.25">
      <c r="A707" s="49" t="s">
        <v>409</v>
      </c>
    </row>
    <row r="708" spans="1:1" x14ac:dyDescent="0.25">
      <c r="A708" s="3" t="s">
        <v>490</v>
      </c>
    </row>
    <row r="709" spans="1:1" x14ac:dyDescent="0.25">
      <c r="A709" s="49" t="s">
        <v>9</v>
      </c>
    </row>
    <row r="710" spans="1:1" x14ac:dyDescent="0.25">
      <c r="A710" s="3" t="s">
        <v>515</v>
      </c>
    </row>
    <row r="711" spans="1:1" x14ac:dyDescent="0.25">
      <c r="A711" s="49" t="s">
        <v>55</v>
      </c>
    </row>
    <row r="712" spans="1:1" x14ac:dyDescent="0.25">
      <c r="A712" s="3" t="s">
        <v>511</v>
      </c>
    </row>
    <row r="713" spans="1:1" x14ac:dyDescent="0.25">
      <c r="A713" s="49" t="s">
        <v>47</v>
      </c>
    </row>
    <row r="714" spans="1:1" x14ac:dyDescent="0.25">
      <c r="A714" s="3" t="s">
        <v>564</v>
      </c>
    </row>
    <row r="715" spans="1:1" x14ac:dyDescent="0.25">
      <c r="A715" s="49" t="s">
        <v>397</v>
      </c>
    </row>
    <row r="716" spans="1:1" x14ac:dyDescent="0.25">
      <c r="A716" s="3" t="s">
        <v>535</v>
      </c>
    </row>
    <row r="717" spans="1:1" x14ac:dyDescent="0.25">
      <c r="A717" s="49" t="s">
        <v>393</v>
      </c>
    </row>
    <row r="718" spans="1:1" x14ac:dyDescent="0.25">
      <c r="A718" s="3" t="s">
        <v>585</v>
      </c>
    </row>
    <row r="719" spans="1:1" x14ac:dyDescent="0.25">
      <c r="A719" s="49" t="s">
        <v>1586</v>
      </c>
    </row>
    <row r="720" spans="1:1" x14ac:dyDescent="0.25">
      <c r="A720" s="3" t="s">
        <v>580</v>
      </c>
    </row>
    <row r="721" spans="1:1" x14ac:dyDescent="0.25">
      <c r="A721" s="49" t="s">
        <v>1586</v>
      </c>
    </row>
    <row r="722" spans="1:1" x14ac:dyDescent="0.25">
      <c r="A722" s="3" t="s">
        <v>597</v>
      </c>
    </row>
    <row r="723" spans="1:1" x14ac:dyDescent="0.25">
      <c r="A723" s="49" t="s">
        <v>1586</v>
      </c>
    </row>
    <row r="724" spans="1:1" x14ac:dyDescent="0.25">
      <c r="A724" s="3" t="s">
        <v>555</v>
      </c>
    </row>
    <row r="725" spans="1:1" x14ac:dyDescent="0.25">
      <c r="A725" s="49" t="s">
        <v>1586</v>
      </c>
    </row>
    <row r="726" spans="1:1" x14ac:dyDescent="0.25">
      <c r="A726" s="3" t="s">
        <v>551</v>
      </c>
    </row>
    <row r="727" spans="1:1" x14ac:dyDescent="0.25">
      <c r="A727" s="49" t="s">
        <v>1586</v>
      </c>
    </row>
    <row r="728" spans="1:1" x14ac:dyDescent="0.25">
      <c r="A728" s="3" t="s">
        <v>572</v>
      </c>
    </row>
    <row r="729" spans="1:1" x14ac:dyDescent="0.25">
      <c r="A729" s="49" t="s">
        <v>1586</v>
      </c>
    </row>
    <row r="730" spans="1:1" x14ac:dyDescent="0.25">
      <c r="A730" s="3" t="s">
        <v>547</v>
      </c>
    </row>
    <row r="731" spans="1:1" x14ac:dyDescent="0.25">
      <c r="A731" s="49" t="s">
        <v>1586</v>
      </c>
    </row>
    <row r="732" spans="1:1" x14ac:dyDescent="0.25">
      <c r="A732" s="3" t="s">
        <v>1587</v>
      </c>
    </row>
    <row r="733" spans="1:1" x14ac:dyDescent="0.25">
      <c r="A733" s="49" t="s">
        <v>1586</v>
      </c>
    </row>
    <row r="734" spans="1:1" x14ac:dyDescent="0.25">
      <c r="A734" s="3" t="s">
        <v>531</v>
      </c>
    </row>
    <row r="735" spans="1:1" x14ac:dyDescent="0.25">
      <c r="A735" s="49" t="s">
        <v>1586</v>
      </c>
    </row>
    <row r="736" spans="1:1" x14ac:dyDescent="0.25">
      <c r="A736" s="3" t="s">
        <v>560</v>
      </c>
    </row>
    <row r="737" spans="1:1" x14ac:dyDescent="0.25">
      <c r="A737" s="49" t="s">
        <v>1586</v>
      </c>
    </row>
    <row r="738" spans="1:1" x14ac:dyDescent="0.25">
      <c r="A738" s="3" t="s">
        <v>576</v>
      </c>
    </row>
    <row r="739" spans="1:1" x14ac:dyDescent="0.25">
      <c r="A739" s="49" t="s">
        <v>1586</v>
      </c>
    </row>
    <row r="740" spans="1:1" x14ac:dyDescent="0.25">
      <c r="A740" s="3" t="s">
        <v>589</v>
      </c>
    </row>
    <row r="741" spans="1:1" x14ac:dyDescent="0.25">
      <c r="A741" s="49" t="s">
        <v>1586</v>
      </c>
    </row>
    <row r="742" spans="1:1" x14ac:dyDescent="0.25">
      <c r="A742" s="3" t="s">
        <v>934</v>
      </c>
    </row>
    <row r="743" spans="1:1" x14ac:dyDescent="0.25">
      <c r="A743" s="49" t="s">
        <v>1586</v>
      </c>
    </row>
    <row r="744" spans="1:1" x14ac:dyDescent="0.25">
      <c r="A744" s="3" t="s">
        <v>905</v>
      </c>
    </row>
    <row r="745" spans="1:1" x14ac:dyDescent="0.25">
      <c r="A745" s="49" t="s">
        <v>1586</v>
      </c>
    </row>
    <row r="746" spans="1:1" x14ac:dyDescent="0.25">
      <c r="A746" s="3" t="s">
        <v>1588</v>
      </c>
    </row>
    <row r="747" spans="1:1" x14ac:dyDescent="0.25">
      <c r="A747" s="49" t="s">
        <v>1586</v>
      </c>
    </row>
    <row r="748" spans="1:1" x14ac:dyDescent="0.25">
      <c r="A748" s="3" t="s">
        <v>1589</v>
      </c>
    </row>
    <row r="749" spans="1:1" x14ac:dyDescent="0.25">
      <c r="A749" s="49" t="s">
        <v>1586</v>
      </c>
    </row>
    <row r="750" spans="1:1" x14ac:dyDescent="0.25">
      <c r="A750" s="3" t="s">
        <v>1590</v>
      </c>
    </row>
    <row r="751" spans="1:1" x14ac:dyDescent="0.25">
      <c r="A751" s="49" t="s">
        <v>1586</v>
      </c>
    </row>
    <row r="752" spans="1:1" x14ac:dyDescent="0.25">
      <c r="A752" s="3" t="s">
        <v>1591</v>
      </c>
    </row>
    <row r="753" spans="1:1" x14ac:dyDescent="0.25">
      <c r="A753" s="49" t="s">
        <v>1586</v>
      </c>
    </row>
    <row r="754" spans="1:1" x14ac:dyDescent="0.25">
      <c r="A754" s="3" t="s">
        <v>1592</v>
      </c>
    </row>
    <row r="755" spans="1:1" x14ac:dyDescent="0.25">
      <c r="A755" s="49" t="s">
        <v>1586</v>
      </c>
    </row>
    <row r="756" spans="1:1" x14ac:dyDescent="0.25">
      <c r="A756" s="3" t="s">
        <v>661</v>
      </c>
    </row>
    <row r="757" spans="1:1" x14ac:dyDescent="0.25">
      <c r="A757" s="49" t="s">
        <v>1586</v>
      </c>
    </row>
    <row r="758" spans="1:1" x14ac:dyDescent="0.25">
      <c r="A758" s="3" t="s">
        <v>921</v>
      </c>
    </row>
    <row r="759" spans="1:1" x14ac:dyDescent="0.25">
      <c r="A759" s="49" t="s">
        <v>1586</v>
      </c>
    </row>
    <row r="760" spans="1:1" x14ac:dyDescent="0.25">
      <c r="A760" s="3" t="s">
        <v>1593</v>
      </c>
    </row>
    <row r="761" spans="1:1" x14ac:dyDescent="0.25">
      <c r="A761" s="49" t="s">
        <v>1586</v>
      </c>
    </row>
    <row r="762" spans="1:1" x14ac:dyDescent="0.25">
      <c r="A762" s="3" t="s">
        <v>1594</v>
      </c>
    </row>
    <row r="763" spans="1:1" x14ac:dyDescent="0.25">
      <c r="A763" s="49" t="s">
        <v>1586</v>
      </c>
    </row>
    <row r="764" spans="1:1" x14ac:dyDescent="0.25">
      <c r="A764" s="3" t="s">
        <v>869</v>
      </c>
    </row>
    <row r="765" spans="1:1" x14ac:dyDescent="0.25">
      <c r="A765" s="49" t="s">
        <v>1586</v>
      </c>
    </row>
    <row r="766" spans="1:1" x14ac:dyDescent="0.25">
      <c r="A766" s="3" t="s">
        <v>873</v>
      </c>
    </row>
    <row r="767" spans="1:1" x14ac:dyDescent="0.25">
      <c r="A767" s="49" t="s">
        <v>1586</v>
      </c>
    </row>
    <row r="768" spans="1:1" x14ac:dyDescent="0.25">
      <c r="A768" s="3" t="s">
        <v>1595</v>
      </c>
    </row>
    <row r="769" spans="1:1" x14ac:dyDescent="0.25">
      <c r="A769" s="49" t="s">
        <v>1586</v>
      </c>
    </row>
    <row r="770" spans="1:1" x14ac:dyDescent="0.25">
      <c r="A770" s="3" t="s">
        <v>1596</v>
      </c>
    </row>
    <row r="771" spans="1:1" x14ac:dyDescent="0.25">
      <c r="A771" s="49" t="s">
        <v>1586</v>
      </c>
    </row>
    <row r="772" spans="1:1" x14ac:dyDescent="0.25">
      <c r="A772" s="3" t="s">
        <v>1597</v>
      </c>
    </row>
    <row r="773" spans="1:1" x14ac:dyDescent="0.25">
      <c r="A773" s="49" t="s">
        <v>1586</v>
      </c>
    </row>
    <row r="774" spans="1:1" x14ac:dyDescent="0.25">
      <c r="A774" s="3" t="s">
        <v>841</v>
      </c>
    </row>
    <row r="775" spans="1:1" x14ac:dyDescent="0.25">
      <c r="A775" s="49" t="s">
        <v>1586</v>
      </c>
    </row>
    <row r="776" spans="1:1" x14ac:dyDescent="0.25">
      <c r="A776" s="3" t="s">
        <v>845</v>
      </c>
    </row>
    <row r="777" spans="1:1" x14ac:dyDescent="0.25">
      <c r="A777" s="49" t="s">
        <v>1586</v>
      </c>
    </row>
    <row r="778" spans="1:1" x14ac:dyDescent="0.25">
      <c r="A778" s="3" t="s">
        <v>849</v>
      </c>
    </row>
    <row r="779" spans="1:1" x14ac:dyDescent="0.25">
      <c r="A779" s="49" t="s">
        <v>1586</v>
      </c>
    </row>
    <row r="780" spans="1:1" x14ac:dyDescent="0.25">
      <c r="A780" s="3" t="s">
        <v>1598</v>
      </c>
    </row>
    <row r="781" spans="1:1" x14ac:dyDescent="0.25">
      <c r="A781" s="49" t="s">
        <v>1586</v>
      </c>
    </row>
    <row r="782" spans="1:1" x14ac:dyDescent="0.25">
      <c r="A782" s="3" t="s">
        <v>1599</v>
      </c>
    </row>
    <row r="783" spans="1:1" x14ac:dyDescent="0.25">
      <c r="A783" s="49" t="s">
        <v>1586</v>
      </c>
    </row>
    <row r="784" spans="1:1" x14ac:dyDescent="0.25">
      <c r="A784" s="3" t="s">
        <v>1600</v>
      </c>
    </row>
    <row r="785" spans="1:1" x14ac:dyDescent="0.25">
      <c r="A785" s="49" t="s">
        <v>1586</v>
      </c>
    </row>
    <row r="786" spans="1:1" x14ac:dyDescent="0.25">
      <c r="A786" s="3" t="s">
        <v>1601</v>
      </c>
    </row>
    <row r="787" spans="1:1" x14ac:dyDescent="0.25">
      <c r="A787" s="49" t="s">
        <v>1586</v>
      </c>
    </row>
    <row r="788" spans="1:1" x14ac:dyDescent="0.25">
      <c r="A788" s="3" t="s">
        <v>853</v>
      </c>
    </row>
    <row r="789" spans="1:1" x14ac:dyDescent="0.25">
      <c r="A789" s="49" t="s">
        <v>1586</v>
      </c>
    </row>
    <row r="790" spans="1:1" x14ac:dyDescent="0.25">
      <c r="A790" s="3" t="s">
        <v>857</v>
      </c>
    </row>
    <row r="791" spans="1:1" x14ac:dyDescent="0.25">
      <c r="A791" s="49" t="s">
        <v>1586</v>
      </c>
    </row>
    <row r="792" spans="1:1" x14ac:dyDescent="0.25">
      <c r="A792" s="3" t="s">
        <v>861</v>
      </c>
    </row>
    <row r="793" spans="1:1" x14ac:dyDescent="0.25">
      <c r="A793" s="49" t="s">
        <v>1586</v>
      </c>
    </row>
    <row r="794" spans="1:1" x14ac:dyDescent="0.25">
      <c r="A794" s="3" t="s">
        <v>865</v>
      </c>
    </row>
    <row r="795" spans="1:1" x14ac:dyDescent="0.25">
      <c r="A795" s="49" t="s">
        <v>1586</v>
      </c>
    </row>
    <row r="796" spans="1:1" x14ac:dyDescent="0.25">
      <c r="A796" s="3" t="s">
        <v>1602</v>
      </c>
    </row>
    <row r="797" spans="1:1" x14ac:dyDescent="0.25">
      <c r="A797" s="49" t="s">
        <v>1586</v>
      </c>
    </row>
    <row r="798" spans="1:1" x14ac:dyDescent="0.25">
      <c r="A798" s="3" t="s">
        <v>909</v>
      </c>
    </row>
    <row r="799" spans="1:1" x14ac:dyDescent="0.25">
      <c r="A799" s="49" t="s">
        <v>1586</v>
      </c>
    </row>
    <row r="800" spans="1:1" x14ac:dyDescent="0.25">
      <c r="A800" s="3" t="s">
        <v>1603</v>
      </c>
    </row>
    <row r="801" spans="1:1" x14ac:dyDescent="0.25">
      <c r="A801" s="49" t="s">
        <v>1586</v>
      </c>
    </row>
    <row r="802" spans="1:1" x14ac:dyDescent="0.25">
      <c r="A802" s="3" t="s">
        <v>1604</v>
      </c>
    </row>
    <row r="803" spans="1:1" x14ac:dyDescent="0.25">
      <c r="A803" s="49" t="s">
        <v>1586</v>
      </c>
    </row>
    <row r="804" spans="1:1" x14ac:dyDescent="0.25">
      <c r="A804" s="3" t="s">
        <v>1605</v>
      </c>
    </row>
    <row r="805" spans="1:1" x14ac:dyDescent="0.25">
      <c r="A805" s="49" t="s">
        <v>1586</v>
      </c>
    </row>
    <row r="806" spans="1:1" x14ac:dyDescent="0.25">
      <c r="A806" s="3" t="s">
        <v>1606</v>
      </c>
    </row>
    <row r="807" spans="1:1" x14ac:dyDescent="0.25">
      <c r="A807" s="49" t="s">
        <v>1586</v>
      </c>
    </row>
    <row r="808" spans="1:1" x14ac:dyDescent="0.25">
      <c r="A808" s="3" t="s">
        <v>1607</v>
      </c>
    </row>
    <row r="809" spans="1:1" x14ac:dyDescent="0.25">
      <c r="A809" s="49" t="s">
        <v>1586</v>
      </c>
    </row>
    <row r="810" spans="1:1" x14ac:dyDescent="0.25">
      <c r="A810" s="3" t="s">
        <v>669</v>
      </c>
    </row>
    <row r="811" spans="1:1" x14ac:dyDescent="0.25">
      <c r="A811" s="49" t="s">
        <v>1586</v>
      </c>
    </row>
    <row r="812" spans="1:1" x14ac:dyDescent="0.25">
      <c r="A812" s="3" t="s">
        <v>1608</v>
      </c>
    </row>
    <row r="813" spans="1:1" x14ac:dyDescent="0.25">
      <c r="A813" s="49" t="s">
        <v>1586</v>
      </c>
    </row>
    <row r="814" spans="1:1" x14ac:dyDescent="0.25">
      <c r="A814" s="3" t="s">
        <v>1609</v>
      </c>
    </row>
    <row r="815" spans="1:1" x14ac:dyDescent="0.25">
      <c r="A815" s="49" t="s">
        <v>1586</v>
      </c>
    </row>
    <row r="816" spans="1:1" x14ac:dyDescent="0.25">
      <c r="A816" s="3" t="s">
        <v>1024</v>
      </c>
    </row>
    <row r="817" spans="1:1" x14ac:dyDescent="0.25">
      <c r="A817" s="49" t="s">
        <v>1586</v>
      </c>
    </row>
    <row r="818" spans="1:1" x14ac:dyDescent="0.25">
      <c r="A818" s="3" t="s">
        <v>885</v>
      </c>
    </row>
    <row r="819" spans="1:1" x14ac:dyDescent="0.25">
      <c r="A819" s="49" t="s">
        <v>1586</v>
      </c>
    </row>
    <row r="820" spans="1:1" x14ac:dyDescent="0.25">
      <c r="A820" s="3" t="s">
        <v>1610</v>
      </c>
    </row>
    <row r="821" spans="1:1" x14ac:dyDescent="0.25">
      <c r="A821" s="49" t="s">
        <v>1586</v>
      </c>
    </row>
    <row r="822" spans="1:1" x14ac:dyDescent="0.25">
      <c r="A822" s="3" t="s">
        <v>925</v>
      </c>
    </row>
    <row r="823" spans="1:1" x14ac:dyDescent="0.25">
      <c r="A823" s="49" t="s">
        <v>1586</v>
      </c>
    </row>
    <row r="824" spans="1:1" x14ac:dyDescent="0.25">
      <c r="A824" s="3" t="s">
        <v>1611</v>
      </c>
    </row>
    <row r="825" spans="1:1" x14ac:dyDescent="0.25">
      <c r="A825" s="49" t="s">
        <v>1586</v>
      </c>
    </row>
    <row r="826" spans="1:1" x14ac:dyDescent="0.25">
      <c r="A826" s="3" t="s">
        <v>1612</v>
      </c>
    </row>
    <row r="827" spans="1:1" x14ac:dyDescent="0.25">
      <c r="A827" s="49" t="s">
        <v>1586</v>
      </c>
    </row>
    <row r="828" spans="1:1" x14ac:dyDescent="0.25">
      <c r="A828" s="3" t="s">
        <v>1613</v>
      </c>
    </row>
    <row r="829" spans="1:1" x14ac:dyDescent="0.25">
      <c r="A829" s="49" t="s">
        <v>1586</v>
      </c>
    </row>
    <row r="830" spans="1:1" x14ac:dyDescent="0.25">
      <c r="A830" s="3" t="s">
        <v>1614</v>
      </c>
    </row>
    <row r="831" spans="1:1" x14ac:dyDescent="0.25">
      <c r="A831" s="49" t="s">
        <v>1586</v>
      </c>
    </row>
    <row r="832" spans="1:1" x14ac:dyDescent="0.25">
      <c r="A832" s="3" t="s">
        <v>1615</v>
      </c>
    </row>
    <row r="833" spans="1:1" x14ac:dyDescent="0.25">
      <c r="A833" s="49" t="s">
        <v>1586</v>
      </c>
    </row>
    <row r="834" spans="1:1" x14ac:dyDescent="0.25">
      <c r="A834" s="3" t="s">
        <v>1616</v>
      </c>
    </row>
    <row r="835" spans="1:1" x14ac:dyDescent="0.25">
      <c r="A835" s="49" t="s">
        <v>1586</v>
      </c>
    </row>
    <row r="836" spans="1:1" x14ac:dyDescent="0.25">
      <c r="A836" s="3" t="s">
        <v>1617</v>
      </c>
    </row>
    <row r="837" spans="1:1" x14ac:dyDescent="0.25">
      <c r="A837" s="49" t="s">
        <v>1586</v>
      </c>
    </row>
    <row r="838" spans="1:1" x14ac:dyDescent="0.25">
      <c r="A838" s="3" t="s">
        <v>1618</v>
      </c>
    </row>
    <row r="839" spans="1:1" x14ac:dyDescent="0.25">
      <c r="A839" s="49" t="s">
        <v>1586</v>
      </c>
    </row>
    <row r="840" spans="1:1" x14ac:dyDescent="0.25">
      <c r="A840" s="3" t="s">
        <v>1619</v>
      </c>
    </row>
    <row r="841" spans="1:1" x14ac:dyDescent="0.25">
      <c r="A841" s="49" t="s">
        <v>1586</v>
      </c>
    </row>
    <row r="842" spans="1:1" x14ac:dyDescent="0.25">
      <c r="A842" s="3" t="s">
        <v>673</v>
      </c>
    </row>
    <row r="843" spans="1:1" x14ac:dyDescent="0.25">
      <c r="A843" s="49" t="s">
        <v>1586</v>
      </c>
    </row>
    <row r="844" spans="1:1" x14ac:dyDescent="0.25">
      <c r="A844" s="3" t="s">
        <v>929</v>
      </c>
    </row>
    <row r="845" spans="1:1" x14ac:dyDescent="0.25">
      <c r="A845" s="49" t="s">
        <v>1586</v>
      </c>
    </row>
    <row r="846" spans="1:1" x14ac:dyDescent="0.25">
      <c r="A846" s="3" t="s">
        <v>1620</v>
      </c>
    </row>
    <row r="847" spans="1:1" x14ac:dyDescent="0.25">
      <c r="A847" s="49" t="s">
        <v>1586</v>
      </c>
    </row>
    <row r="848" spans="1:1" x14ac:dyDescent="0.25">
      <c r="A848" s="3" t="s">
        <v>1621</v>
      </c>
    </row>
    <row r="849" spans="1:1" x14ac:dyDescent="0.25">
      <c r="A849" s="49" t="s">
        <v>1586</v>
      </c>
    </row>
    <row r="850" spans="1:1" x14ac:dyDescent="0.25">
      <c r="A850" s="3" t="s">
        <v>1622</v>
      </c>
    </row>
    <row r="851" spans="1:1" x14ac:dyDescent="0.25">
      <c r="A851" s="49" t="s">
        <v>1586</v>
      </c>
    </row>
    <row r="852" spans="1:1" x14ac:dyDescent="0.25">
      <c r="A852" s="3" t="s">
        <v>1623</v>
      </c>
    </row>
    <row r="853" spans="1:1" x14ac:dyDescent="0.25">
      <c r="A853" s="49" t="s">
        <v>1586</v>
      </c>
    </row>
    <row r="854" spans="1:1" x14ac:dyDescent="0.25">
      <c r="A854" s="3" t="s">
        <v>1624</v>
      </c>
    </row>
    <row r="855" spans="1:1" x14ac:dyDescent="0.25">
      <c r="A855" s="49" t="s">
        <v>1586</v>
      </c>
    </row>
    <row r="856" spans="1:1" x14ac:dyDescent="0.25">
      <c r="A856" s="3" t="s">
        <v>1625</v>
      </c>
    </row>
    <row r="857" spans="1:1" x14ac:dyDescent="0.25">
      <c r="A857" s="49" t="s">
        <v>1586</v>
      </c>
    </row>
    <row r="858" spans="1:1" x14ac:dyDescent="0.25">
      <c r="A858" s="3" t="s">
        <v>1626</v>
      </c>
    </row>
    <row r="859" spans="1:1" x14ac:dyDescent="0.25">
      <c r="A859" s="49" t="s">
        <v>1586</v>
      </c>
    </row>
    <row r="860" spans="1:1" x14ac:dyDescent="0.25">
      <c r="A860" s="3" t="s">
        <v>1627</v>
      </c>
    </row>
    <row r="861" spans="1:1" x14ac:dyDescent="0.25">
      <c r="A861" s="49" t="s">
        <v>1586</v>
      </c>
    </row>
    <row r="862" spans="1:1" x14ac:dyDescent="0.25">
      <c r="A862" s="3" t="s">
        <v>829</v>
      </c>
    </row>
    <row r="863" spans="1:1" x14ac:dyDescent="0.25">
      <c r="A863" s="49" t="s">
        <v>1586</v>
      </c>
    </row>
    <row r="864" spans="1:1" x14ac:dyDescent="0.25">
      <c r="A864" s="3" t="s">
        <v>833</v>
      </c>
    </row>
    <row r="865" spans="1:1" x14ac:dyDescent="0.25">
      <c r="A865" s="49" t="s">
        <v>1586</v>
      </c>
    </row>
    <row r="866" spans="1:1" x14ac:dyDescent="0.25">
      <c r="A866" s="3" t="s">
        <v>677</v>
      </c>
    </row>
    <row r="867" spans="1:1" x14ac:dyDescent="0.25">
      <c r="A867" s="49" t="s">
        <v>1586</v>
      </c>
    </row>
    <row r="868" spans="1:1" x14ac:dyDescent="0.25">
      <c r="A868" s="3" t="s">
        <v>877</v>
      </c>
    </row>
    <row r="869" spans="1:1" x14ac:dyDescent="0.25">
      <c r="A869" s="49" t="s">
        <v>1586</v>
      </c>
    </row>
    <row r="870" spans="1:1" x14ac:dyDescent="0.25">
      <c r="A870" s="3" t="s">
        <v>1628</v>
      </c>
    </row>
    <row r="871" spans="1:1" x14ac:dyDescent="0.25">
      <c r="A871" s="49" t="s">
        <v>1586</v>
      </c>
    </row>
    <row r="872" spans="1:1" x14ac:dyDescent="0.25">
      <c r="A872" s="3" t="s">
        <v>1629</v>
      </c>
    </row>
    <row r="873" spans="1:1" x14ac:dyDescent="0.25">
      <c r="A873" s="49" t="s">
        <v>1586</v>
      </c>
    </row>
    <row r="874" spans="1:1" x14ac:dyDescent="0.25">
      <c r="A874" s="3" t="s">
        <v>1630</v>
      </c>
    </row>
    <row r="875" spans="1:1" x14ac:dyDescent="0.25">
      <c r="A875" s="49" t="s">
        <v>1586</v>
      </c>
    </row>
    <row r="876" spans="1:1" x14ac:dyDescent="0.25">
      <c r="A876" s="3" t="s">
        <v>1631</v>
      </c>
    </row>
    <row r="877" spans="1:1" x14ac:dyDescent="0.25">
      <c r="A877" s="49" t="s">
        <v>1586</v>
      </c>
    </row>
    <row r="878" spans="1:1" x14ac:dyDescent="0.25">
      <c r="A878" s="3" t="s">
        <v>1632</v>
      </c>
    </row>
    <row r="879" spans="1:1" x14ac:dyDescent="0.25">
      <c r="A879" s="49" t="s">
        <v>1586</v>
      </c>
    </row>
    <row r="880" spans="1:1" x14ac:dyDescent="0.25">
      <c r="A880" s="3" t="s">
        <v>825</v>
      </c>
    </row>
    <row r="881" spans="1:1" x14ac:dyDescent="0.25">
      <c r="A881" s="49" t="s">
        <v>1586</v>
      </c>
    </row>
    <row r="882" spans="1:1" x14ac:dyDescent="0.25">
      <c r="A882" s="3" t="s">
        <v>837</v>
      </c>
    </row>
    <row r="883" spans="1:1" x14ac:dyDescent="0.25">
      <c r="A883" s="49" t="s">
        <v>1586</v>
      </c>
    </row>
    <row r="884" spans="1:1" x14ac:dyDescent="0.25">
      <c r="A884" s="3" t="s">
        <v>1633</v>
      </c>
    </row>
    <row r="885" spans="1:1" x14ac:dyDescent="0.25">
      <c r="A885" s="49" t="s">
        <v>1586</v>
      </c>
    </row>
    <row r="886" spans="1:1" x14ac:dyDescent="0.25">
      <c r="A886" s="3" t="s">
        <v>376</v>
      </c>
    </row>
    <row r="887" spans="1:1" x14ac:dyDescent="0.25">
      <c r="A887" s="49" t="s">
        <v>1586</v>
      </c>
    </row>
    <row r="888" spans="1:1" x14ac:dyDescent="0.25">
      <c r="A888" s="3" t="s">
        <v>881</v>
      </c>
    </row>
    <row r="889" spans="1:1" x14ac:dyDescent="0.25">
      <c r="A889" s="49" t="s">
        <v>1586</v>
      </c>
    </row>
    <row r="890" spans="1:1" x14ac:dyDescent="0.25">
      <c r="A890" s="3" t="s">
        <v>1634</v>
      </c>
    </row>
    <row r="891" spans="1:1" x14ac:dyDescent="0.25">
      <c r="A891" s="49" t="s">
        <v>1586</v>
      </c>
    </row>
    <row r="892" spans="1:1" x14ac:dyDescent="0.25">
      <c r="A892" s="3" t="s">
        <v>1635</v>
      </c>
    </row>
    <row r="893" spans="1:1" x14ac:dyDescent="0.25">
      <c r="A893" s="49" t="s">
        <v>1586</v>
      </c>
    </row>
    <row r="894" spans="1:1" x14ac:dyDescent="0.25">
      <c r="A894" s="3" t="s">
        <v>1636</v>
      </c>
    </row>
    <row r="895" spans="1:1" x14ac:dyDescent="0.25">
      <c r="A895" s="49" t="s">
        <v>1586</v>
      </c>
    </row>
    <row r="896" spans="1:1" x14ac:dyDescent="0.25">
      <c r="A896" s="3" t="s">
        <v>1637</v>
      </c>
    </row>
    <row r="897" spans="1:1" x14ac:dyDescent="0.25">
      <c r="A897" s="49" t="s">
        <v>1586</v>
      </c>
    </row>
    <row r="898" spans="1:1" x14ac:dyDescent="0.25">
      <c r="A898" s="3" t="s">
        <v>1638</v>
      </c>
    </row>
    <row r="899" spans="1:1" x14ac:dyDescent="0.25">
      <c r="A899" s="49" t="s">
        <v>1586</v>
      </c>
    </row>
    <row r="900" spans="1:1" x14ac:dyDescent="0.25">
      <c r="A900" s="3" t="s">
        <v>368</v>
      </c>
    </row>
    <row r="901" spans="1:1" x14ac:dyDescent="0.25">
      <c r="A901" s="49" t="s">
        <v>1586</v>
      </c>
    </row>
    <row r="902" spans="1:1" x14ac:dyDescent="0.25">
      <c r="A902" s="3" t="s">
        <v>326</v>
      </c>
    </row>
    <row r="903" spans="1:1" x14ac:dyDescent="0.25">
      <c r="A903" s="49" t="s">
        <v>1586</v>
      </c>
    </row>
    <row r="904" spans="1:1" x14ac:dyDescent="0.25">
      <c r="A904" s="3" t="s">
        <v>260</v>
      </c>
    </row>
    <row r="905" spans="1:1" x14ac:dyDescent="0.25">
      <c r="A905" s="49" t="s">
        <v>1586</v>
      </c>
    </row>
    <row r="906" spans="1:1" x14ac:dyDescent="0.25">
      <c r="A906" s="3" t="s">
        <v>1639</v>
      </c>
    </row>
    <row r="907" spans="1:1" x14ac:dyDescent="0.25">
      <c r="A907" s="49" t="s">
        <v>1586</v>
      </c>
    </row>
    <row r="908" spans="1:1" x14ac:dyDescent="0.25">
      <c r="A908" s="3" t="s">
        <v>1640</v>
      </c>
    </row>
    <row r="909" spans="1:1" x14ac:dyDescent="0.25">
      <c r="A909" s="49" t="s">
        <v>1586</v>
      </c>
    </row>
    <row r="910" spans="1:1" x14ac:dyDescent="0.25">
      <c r="A910" s="3" t="s">
        <v>1641</v>
      </c>
    </row>
    <row r="911" spans="1:1" x14ac:dyDescent="0.25">
      <c r="A911" s="49" t="s">
        <v>1586</v>
      </c>
    </row>
    <row r="912" spans="1:1" x14ac:dyDescent="0.25">
      <c r="A912" s="3" t="s">
        <v>1642</v>
      </c>
    </row>
    <row r="913" spans="1:1" x14ac:dyDescent="0.25">
      <c r="A913" s="49" t="s">
        <v>1586</v>
      </c>
    </row>
    <row r="914" spans="1:1" x14ac:dyDescent="0.25">
      <c r="A914" s="3" t="s">
        <v>364</v>
      </c>
    </row>
    <row r="915" spans="1:1" x14ac:dyDescent="0.25">
      <c r="A915" s="49" t="s">
        <v>1586</v>
      </c>
    </row>
    <row r="916" spans="1:1" x14ac:dyDescent="0.25">
      <c r="A916" s="3" t="s">
        <v>372</v>
      </c>
    </row>
    <row r="917" spans="1:1" x14ac:dyDescent="0.25">
      <c r="A917" s="49" t="s">
        <v>1586</v>
      </c>
    </row>
    <row r="918" spans="1:1" x14ac:dyDescent="0.25">
      <c r="A918" s="3" t="s">
        <v>268</v>
      </c>
    </row>
    <row r="919" spans="1:1" x14ac:dyDescent="0.25">
      <c r="A919" s="49" t="s">
        <v>1586</v>
      </c>
    </row>
    <row r="920" spans="1:1" x14ac:dyDescent="0.25">
      <c r="A920" s="3" t="s">
        <v>1224</v>
      </c>
    </row>
    <row r="921" spans="1:1" x14ac:dyDescent="0.25">
      <c r="A921" s="49" t="s">
        <v>1586</v>
      </c>
    </row>
    <row r="922" spans="1:1" x14ac:dyDescent="0.25">
      <c r="A922" s="3" t="s">
        <v>1643</v>
      </c>
    </row>
    <row r="923" spans="1:1" x14ac:dyDescent="0.25">
      <c r="A923" s="49" t="s">
        <v>1586</v>
      </c>
    </row>
    <row r="924" spans="1:1" x14ac:dyDescent="0.25">
      <c r="A924" s="3" t="s">
        <v>1644</v>
      </c>
    </row>
    <row r="925" spans="1:1" x14ac:dyDescent="0.25">
      <c r="A925" s="49" t="s">
        <v>1586</v>
      </c>
    </row>
    <row r="926" spans="1:1" x14ac:dyDescent="0.25">
      <c r="A926" s="3" t="s">
        <v>1645</v>
      </c>
    </row>
    <row r="927" spans="1:1" x14ac:dyDescent="0.25">
      <c r="A927" s="49" t="s">
        <v>1586</v>
      </c>
    </row>
    <row r="928" spans="1:1" x14ac:dyDescent="0.25">
      <c r="A928" s="3" t="s">
        <v>1646</v>
      </c>
    </row>
    <row r="929" spans="1:1" x14ac:dyDescent="0.25">
      <c r="A929" s="49" t="s">
        <v>1586</v>
      </c>
    </row>
    <row r="930" spans="1:1" x14ac:dyDescent="0.25">
      <c r="A930" s="3" t="s">
        <v>1647</v>
      </c>
    </row>
    <row r="931" spans="1:1" x14ac:dyDescent="0.25">
      <c r="A931" s="49" t="s">
        <v>1586</v>
      </c>
    </row>
    <row r="932" spans="1:1" x14ac:dyDescent="0.25">
      <c r="A932" s="3" t="s">
        <v>1648</v>
      </c>
    </row>
    <row r="933" spans="1:1" x14ac:dyDescent="0.25">
      <c r="A933" s="49" t="s">
        <v>1586</v>
      </c>
    </row>
    <row r="934" spans="1:1" x14ac:dyDescent="0.25">
      <c r="A934" s="3" t="s">
        <v>1649</v>
      </c>
    </row>
    <row r="935" spans="1:1" x14ac:dyDescent="0.25">
      <c r="A935" s="49" t="s">
        <v>1586</v>
      </c>
    </row>
    <row r="936" spans="1:1" x14ac:dyDescent="0.25">
      <c r="A936" s="3" t="s">
        <v>1650</v>
      </c>
    </row>
    <row r="937" spans="1:1" x14ac:dyDescent="0.25">
      <c r="A937" s="49" t="s">
        <v>1586</v>
      </c>
    </row>
    <row r="938" spans="1:1" x14ac:dyDescent="0.25">
      <c r="A938" s="3" t="s">
        <v>1651</v>
      </c>
    </row>
    <row r="939" spans="1:1" x14ac:dyDescent="0.25">
      <c r="A939" s="49" t="s">
        <v>1586</v>
      </c>
    </row>
    <row r="940" spans="1:1" x14ac:dyDescent="0.25">
      <c r="A940" s="3" t="s">
        <v>1209</v>
      </c>
    </row>
    <row r="941" spans="1:1" x14ac:dyDescent="0.25">
      <c r="A941" s="49" t="s">
        <v>1586</v>
      </c>
    </row>
    <row r="942" spans="1:1" x14ac:dyDescent="0.25">
      <c r="A942" s="3" t="s">
        <v>1652</v>
      </c>
    </row>
    <row r="943" spans="1:1" x14ac:dyDescent="0.25">
      <c r="A943" s="49" t="s">
        <v>1586</v>
      </c>
    </row>
    <row r="944" spans="1:1" x14ac:dyDescent="0.25">
      <c r="A944" s="3" t="s">
        <v>1653</v>
      </c>
    </row>
    <row r="945" spans="1:1" x14ac:dyDescent="0.25">
      <c r="A945" s="49" t="s">
        <v>1586</v>
      </c>
    </row>
    <row r="946" spans="1:1" x14ac:dyDescent="0.25">
      <c r="A946" s="3" t="s">
        <v>1654</v>
      </c>
    </row>
    <row r="947" spans="1:1" x14ac:dyDescent="0.25">
      <c r="A947" s="49" t="s">
        <v>1586</v>
      </c>
    </row>
    <row r="948" spans="1:1" x14ac:dyDescent="0.25">
      <c r="A948" s="3" t="s">
        <v>1655</v>
      </c>
    </row>
    <row r="949" spans="1:1" x14ac:dyDescent="0.25">
      <c r="A949" s="49" t="s">
        <v>1586</v>
      </c>
    </row>
    <row r="950" spans="1:1" x14ac:dyDescent="0.25">
      <c r="A950" s="3" t="s">
        <v>1656</v>
      </c>
    </row>
    <row r="951" spans="1:1" x14ac:dyDescent="0.25">
      <c r="A951" s="49" t="s">
        <v>1586</v>
      </c>
    </row>
    <row r="952" spans="1:1" x14ac:dyDescent="0.25">
      <c r="A952" s="3" t="s">
        <v>1657</v>
      </c>
    </row>
    <row r="953" spans="1:1" x14ac:dyDescent="0.25">
      <c r="A953" s="49" t="s">
        <v>1586</v>
      </c>
    </row>
    <row r="954" spans="1:1" x14ac:dyDescent="0.25">
      <c r="A954" s="3" t="s">
        <v>256</v>
      </c>
    </row>
    <row r="955" spans="1:1" x14ac:dyDescent="0.25">
      <c r="A955" s="49" t="s">
        <v>1586</v>
      </c>
    </row>
    <row r="956" spans="1:1" x14ac:dyDescent="0.25">
      <c r="A956" s="3" t="s">
        <v>252</v>
      </c>
    </row>
    <row r="957" spans="1:1" x14ac:dyDescent="0.25">
      <c r="A957" s="49" t="s">
        <v>1586</v>
      </c>
    </row>
    <row r="958" spans="1:1" x14ac:dyDescent="0.25">
      <c r="A958" s="3" t="s">
        <v>13</v>
      </c>
    </row>
    <row r="959" spans="1:1" x14ac:dyDescent="0.25">
      <c r="A959" s="49" t="s">
        <v>1586</v>
      </c>
    </row>
    <row r="960" spans="1:1" x14ac:dyDescent="0.25">
      <c r="A960" s="3" t="s">
        <v>1658</v>
      </c>
    </row>
    <row r="961" spans="1:1" x14ac:dyDescent="0.25">
      <c r="A961" s="49" t="s">
        <v>1586</v>
      </c>
    </row>
    <row r="962" spans="1:1" x14ac:dyDescent="0.25">
      <c r="A962" s="3" t="s">
        <v>1659</v>
      </c>
    </row>
    <row r="963" spans="1:1" x14ac:dyDescent="0.25">
      <c r="A963" s="49" t="s">
        <v>1586</v>
      </c>
    </row>
    <row r="964" spans="1:1" x14ac:dyDescent="0.25">
      <c r="A964" s="3" t="s">
        <v>1660</v>
      </c>
    </row>
    <row r="965" spans="1:1" x14ac:dyDescent="0.25">
      <c r="A965" s="49" t="s">
        <v>1586</v>
      </c>
    </row>
    <row r="966" spans="1:1" x14ac:dyDescent="0.25">
      <c r="A966" s="3" t="s">
        <v>1661</v>
      </c>
    </row>
    <row r="967" spans="1:1" x14ac:dyDescent="0.25">
      <c r="A967" s="49" t="s">
        <v>1586</v>
      </c>
    </row>
    <row r="968" spans="1:1" x14ac:dyDescent="0.25">
      <c r="A968" s="3" t="s">
        <v>1662</v>
      </c>
    </row>
    <row r="969" spans="1:1" x14ac:dyDescent="0.25">
      <c r="A969" s="49" t="s">
        <v>1586</v>
      </c>
    </row>
    <row r="970" spans="1:1" x14ac:dyDescent="0.25">
      <c r="A970" s="3" t="s">
        <v>1663</v>
      </c>
    </row>
    <row r="971" spans="1:1" x14ac:dyDescent="0.25">
      <c r="A971" s="49" t="s">
        <v>1586</v>
      </c>
    </row>
    <row r="972" spans="1:1" x14ac:dyDescent="0.25">
      <c r="A972" s="3" t="s">
        <v>1664</v>
      </c>
    </row>
    <row r="973" spans="1:1" x14ac:dyDescent="0.25">
      <c r="A973" s="49" t="s">
        <v>1586</v>
      </c>
    </row>
    <row r="974" spans="1:1" x14ac:dyDescent="0.25">
      <c r="A974" s="3" t="s">
        <v>1665</v>
      </c>
    </row>
    <row r="975" spans="1:1" x14ac:dyDescent="0.25">
      <c r="A975" s="49" t="s">
        <v>1586</v>
      </c>
    </row>
    <row r="976" spans="1:1" x14ac:dyDescent="0.25">
      <c r="A976" s="3" t="s">
        <v>1666</v>
      </c>
    </row>
    <row r="977" spans="1:1" x14ac:dyDescent="0.25">
      <c r="A977" s="49" t="s">
        <v>1586</v>
      </c>
    </row>
    <row r="978" spans="1:1" x14ac:dyDescent="0.25">
      <c r="A978" s="3" t="s">
        <v>1667</v>
      </c>
    </row>
    <row r="979" spans="1:1" x14ac:dyDescent="0.25">
      <c r="A979" s="49" t="s">
        <v>1586</v>
      </c>
    </row>
    <row r="980" spans="1:1" x14ac:dyDescent="0.25">
      <c r="A980" s="3" t="s">
        <v>1668</v>
      </c>
    </row>
    <row r="981" spans="1:1" x14ac:dyDescent="0.25">
      <c r="A981" s="49" t="s">
        <v>1586</v>
      </c>
    </row>
    <row r="982" spans="1:1" x14ac:dyDescent="0.25">
      <c r="A982" s="3" t="s">
        <v>1669</v>
      </c>
    </row>
    <row r="983" spans="1:1" x14ac:dyDescent="0.25">
      <c r="A983" s="49" t="s">
        <v>1586</v>
      </c>
    </row>
    <row r="984" spans="1:1" x14ac:dyDescent="0.25">
      <c r="A984" s="3" t="s">
        <v>1670</v>
      </c>
    </row>
    <row r="985" spans="1:1" x14ac:dyDescent="0.25">
      <c r="A985" s="49" t="s">
        <v>1586</v>
      </c>
    </row>
    <row r="986" spans="1:1" x14ac:dyDescent="0.25">
      <c r="A986" s="3" t="s">
        <v>1671</v>
      </c>
    </row>
    <row r="987" spans="1:1" x14ac:dyDescent="0.25">
      <c r="A987" s="49" t="s">
        <v>1586</v>
      </c>
    </row>
    <row r="988" spans="1:1" x14ac:dyDescent="0.25">
      <c r="A988" s="3" t="s">
        <v>1672</v>
      </c>
    </row>
    <row r="989" spans="1:1" x14ac:dyDescent="0.25">
      <c r="A989" s="49" t="s">
        <v>1586</v>
      </c>
    </row>
    <row r="990" spans="1:1" x14ac:dyDescent="0.25">
      <c r="A990" s="3" t="s">
        <v>1673</v>
      </c>
    </row>
    <row r="991" spans="1:1" x14ac:dyDescent="0.25">
      <c r="A991" s="49" t="s">
        <v>1586</v>
      </c>
    </row>
    <row r="992" spans="1:1" x14ac:dyDescent="0.25">
      <c r="A992" s="3" t="s">
        <v>893</v>
      </c>
    </row>
    <row r="993" spans="1:1" x14ac:dyDescent="0.25">
      <c r="A993" s="49" t="s">
        <v>1586</v>
      </c>
    </row>
    <row r="994" spans="1:1" x14ac:dyDescent="0.25">
      <c r="A994" s="3" t="s">
        <v>897</v>
      </c>
    </row>
    <row r="995" spans="1:1" x14ac:dyDescent="0.25">
      <c r="A995" s="49" t="s">
        <v>1586</v>
      </c>
    </row>
    <row r="996" spans="1:1" x14ac:dyDescent="0.25">
      <c r="A996" s="3" t="s">
        <v>901</v>
      </c>
    </row>
    <row r="997" spans="1:1" x14ac:dyDescent="0.25">
      <c r="A997" s="49" t="s">
        <v>1586</v>
      </c>
    </row>
    <row r="998" spans="1:1" x14ac:dyDescent="0.25">
      <c r="A998" s="3" t="s">
        <v>996</v>
      </c>
    </row>
    <row r="999" spans="1:1" x14ac:dyDescent="0.25">
      <c r="A999" s="49" t="s">
        <v>1586</v>
      </c>
    </row>
    <row r="1000" spans="1:1" x14ac:dyDescent="0.25">
      <c r="A1000" s="3" t="s">
        <v>992</v>
      </c>
    </row>
    <row r="1001" spans="1:1" x14ac:dyDescent="0.25">
      <c r="A1001" s="49" t="s">
        <v>1586</v>
      </c>
    </row>
    <row r="1002" spans="1:1" x14ac:dyDescent="0.25">
      <c r="A1002" s="3" t="s">
        <v>1000</v>
      </c>
    </row>
    <row r="1003" spans="1:1" x14ac:dyDescent="0.25">
      <c r="A1003" s="49" t="s">
        <v>1586</v>
      </c>
    </row>
    <row r="1004" spans="1:1" x14ac:dyDescent="0.25">
      <c r="A1004" s="3" t="s">
        <v>980</v>
      </c>
    </row>
    <row r="1005" spans="1:1" x14ac:dyDescent="0.25">
      <c r="A1005" s="49" t="s">
        <v>1586</v>
      </c>
    </row>
    <row r="1006" spans="1:1" x14ac:dyDescent="0.25">
      <c r="A1006" s="3" t="s">
        <v>984</v>
      </c>
    </row>
    <row r="1007" spans="1:1" x14ac:dyDescent="0.25">
      <c r="A1007" s="49" t="s">
        <v>1586</v>
      </c>
    </row>
    <row r="1008" spans="1:1" x14ac:dyDescent="0.25">
      <c r="A1008" s="3" t="s">
        <v>938</v>
      </c>
    </row>
    <row r="1009" spans="1:1" x14ac:dyDescent="0.25">
      <c r="A1009" s="49" t="s">
        <v>1586</v>
      </c>
    </row>
    <row r="1010" spans="1:1" x14ac:dyDescent="0.25">
      <c r="A1010" s="3" t="s">
        <v>946</v>
      </c>
    </row>
    <row r="1011" spans="1:1" x14ac:dyDescent="0.25">
      <c r="A1011" s="49" t="s">
        <v>1586</v>
      </c>
    </row>
    <row r="1012" spans="1:1" x14ac:dyDescent="0.25">
      <c r="A1012" s="3" t="s">
        <v>988</v>
      </c>
    </row>
    <row r="1013" spans="1:1" x14ac:dyDescent="0.25">
      <c r="A1013" s="49" t="s">
        <v>1586</v>
      </c>
    </row>
    <row r="1014" spans="1:1" x14ac:dyDescent="0.25">
      <c r="A1014" s="3" t="s">
        <v>1008</v>
      </c>
    </row>
    <row r="1015" spans="1:1" x14ac:dyDescent="0.25">
      <c r="A1015" s="49" t="s">
        <v>1586</v>
      </c>
    </row>
    <row r="1016" spans="1:1" x14ac:dyDescent="0.25">
      <c r="A1016" s="3" t="s">
        <v>1012</v>
      </c>
    </row>
    <row r="1017" spans="1:1" x14ac:dyDescent="0.25">
      <c r="A1017" s="49" t="s">
        <v>1586</v>
      </c>
    </row>
    <row r="1018" spans="1:1" x14ac:dyDescent="0.25">
      <c r="A1018" s="3" t="s">
        <v>1004</v>
      </c>
    </row>
    <row r="1019" spans="1:1" x14ac:dyDescent="0.25">
      <c r="A1019" s="49" t="s">
        <v>1586</v>
      </c>
    </row>
    <row r="1020" spans="1:1" x14ac:dyDescent="0.25">
      <c r="A1020" s="3" t="s">
        <v>1016</v>
      </c>
    </row>
    <row r="1021" spans="1:1" x14ac:dyDescent="0.25">
      <c r="A1021" s="49" t="s">
        <v>1586</v>
      </c>
    </row>
    <row r="1022" spans="1:1" x14ac:dyDescent="0.25">
      <c r="A1022" s="3" t="s">
        <v>1020</v>
      </c>
    </row>
    <row r="1023" spans="1:1" x14ac:dyDescent="0.25">
      <c r="A1023" s="49" t="s">
        <v>1586</v>
      </c>
    </row>
    <row r="1024" spans="1:1" x14ac:dyDescent="0.25">
      <c r="A1024" s="3" t="s">
        <v>1028</v>
      </c>
    </row>
    <row r="1025" spans="1:1" x14ac:dyDescent="0.25">
      <c r="A1025" s="49" t="s">
        <v>1586</v>
      </c>
    </row>
    <row r="1026" spans="1:1" x14ac:dyDescent="0.25">
      <c r="A1026" s="3" t="s">
        <v>942</v>
      </c>
    </row>
    <row r="1027" spans="1:1" x14ac:dyDescent="0.25">
      <c r="A1027" s="49" t="s">
        <v>1586</v>
      </c>
    </row>
    <row r="1028" spans="1:1" x14ac:dyDescent="0.25">
      <c r="A1028" s="3" t="s">
        <v>950</v>
      </c>
    </row>
    <row r="1029" spans="1:1" x14ac:dyDescent="0.25">
      <c r="A1029" s="49" t="s">
        <v>1586</v>
      </c>
    </row>
    <row r="1030" spans="1:1" x14ac:dyDescent="0.25">
      <c r="A1030" s="3" t="s">
        <v>954</v>
      </c>
    </row>
    <row r="1031" spans="1:1" x14ac:dyDescent="0.25">
      <c r="A1031" s="49" t="s">
        <v>1586</v>
      </c>
    </row>
    <row r="1032" spans="1:1" x14ac:dyDescent="0.25">
      <c r="A1032" s="3" t="s">
        <v>38</v>
      </c>
    </row>
    <row r="1033" spans="1:1" x14ac:dyDescent="0.25">
      <c r="A1033" s="49" t="s">
        <v>1586</v>
      </c>
    </row>
    <row r="1034" spans="1:1" x14ac:dyDescent="0.25">
      <c r="A1034" s="3" t="s">
        <v>1674</v>
      </c>
    </row>
    <row r="1035" spans="1:1" x14ac:dyDescent="0.25">
      <c r="A1035" s="49" t="s">
        <v>1586</v>
      </c>
    </row>
    <row r="1036" spans="1:1" x14ac:dyDescent="0.25">
      <c r="A1036" s="3" t="s">
        <v>59</v>
      </c>
    </row>
    <row r="1037" spans="1:1" x14ac:dyDescent="0.25">
      <c r="A1037" s="49" t="s">
        <v>1586</v>
      </c>
    </row>
    <row r="1038" spans="1:1" x14ac:dyDescent="0.25">
      <c r="A1038" s="3" t="s">
        <v>1675</v>
      </c>
    </row>
    <row r="1039" spans="1:1" x14ac:dyDescent="0.25">
      <c r="A1039" s="49" t="s">
        <v>1586</v>
      </c>
    </row>
    <row r="1040" spans="1:1" x14ac:dyDescent="0.25">
      <c r="A1040" s="3" t="s">
        <v>1676</v>
      </c>
    </row>
    <row r="1041" spans="1:1" x14ac:dyDescent="0.25">
      <c r="A1041" s="49" t="s">
        <v>1586</v>
      </c>
    </row>
    <row r="1042" spans="1:1" x14ac:dyDescent="0.25">
      <c r="A1042" s="3" t="s">
        <v>1677</v>
      </c>
    </row>
    <row r="1043" spans="1:1" x14ac:dyDescent="0.25">
      <c r="A1043" s="49" t="s">
        <v>1586</v>
      </c>
    </row>
    <row r="1044" spans="1:1" x14ac:dyDescent="0.25">
      <c r="A1044" s="3" t="s">
        <v>68</v>
      </c>
    </row>
    <row r="1045" spans="1:1" x14ac:dyDescent="0.25">
      <c r="A1045" s="49" t="s">
        <v>1586</v>
      </c>
    </row>
    <row r="1046" spans="1:1" x14ac:dyDescent="0.25">
      <c r="A1046" s="3" t="s">
        <v>1678</v>
      </c>
    </row>
    <row r="1047" spans="1:1" x14ac:dyDescent="0.25">
      <c r="A1047" s="49" t="s">
        <v>1586</v>
      </c>
    </row>
    <row r="1048" spans="1:1" x14ac:dyDescent="0.25">
      <c r="A1048" s="3" t="s">
        <v>1679</v>
      </c>
    </row>
    <row r="1049" spans="1:1" x14ac:dyDescent="0.25">
      <c r="A1049" s="49" t="s">
        <v>1586</v>
      </c>
    </row>
    <row r="1050" spans="1:1" x14ac:dyDescent="0.25">
      <c r="A1050" s="3" t="s">
        <v>1680</v>
      </c>
    </row>
    <row r="1051" spans="1:1" x14ac:dyDescent="0.25">
      <c r="A1051" s="49" t="s">
        <v>1586</v>
      </c>
    </row>
    <row r="1052" spans="1:1" x14ac:dyDescent="0.25">
      <c r="A1052" s="3" t="s">
        <v>1681</v>
      </c>
    </row>
    <row r="1053" spans="1:1" x14ac:dyDescent="0.25">
      <c r="A1053" s="49" t="s">
        <v>1586</v>
      </c>
    </row>
    <row r="1054" spans="1:1" x14ac:dyDescent="0.25">
      <c r="A1054" s="3" t="s">
        <v>51</v>
      </c>
    </row>
    <row r="1055" spans="1:1" x14ac:dyDescent="0.25">
      <c r="A1055" s="49" t="s">
        <v>1586</v>
      </c>
    </row>
    <row r="1056" spans="1:1" x14ac:dyDescent="0.25">
      <c r="A1056" s="3" t="s">
        <v>1240</v>
      </c>
    </row>
    <row r="1057" spans="1:1" x14ac:dyDescent="0.25">
      <c r="A1057" s="49" t="s">
        <v>1586</v>
      </c>
    </row>
    <row r="1058" spans="1:1" x14ac:dyDescent="0.25">
      <c r="A1058" s="3" t="s">
        <v>805</v>
      </c>
    </row>
    <row r="1059" spans="1:1" x14ac:dyDescent="0.25">
      <c r="A1059" s="49" t="s">
        <v>1586</v>
      </c>
    </row>
    <row r="1060" spans="1:1" x14ac:dyDescent="0.25">
      <c r="A1060" s="3" t="s">
        <v>336</v>
      </c>
    </row>
    <row r="1061" spans="1:1" x14ac:dyDescent="0.25">
      <c r="A1061" s="49" t="s">
        <v>1586</v>
      </c>
    </row>
    <row r="1062" spans="1:1" x14ac:dyDescent="0.25">
      <c r="A1062" s="3" t="s">
        <v>773</v>
      </c>
    </row>
    <row r="1063" spans="1:1" x14ac:dyDescent="0.25">
      <c r="A1063" s="49" t="s">
        <v>1586</v>
      </c>
    </row>
    <row r="1064" spans="1:1" x14ac:dyDescent="0.25">
      <c r="A1064" s="3" t="s">
        <v>797</v>
      </c>
    </row>
    <row r="1065" spans="1:1" x14ac:dyDescent="0.25">
      <c r="A1065" s="49" t="s">
        <v>1586</v>
      </c>
    </row>
    <row r="1066" spans="1:1" x14ac:dyDescent="0.25">
      <c r="A1066" s="3" t="s">
        <v>813</v>
      </c>
    </row>
    <row r="1067" spans="1:1" x14ac:dyDescent="0.25">
      <c r="A1067" s="49" t="s">
        <v>1586</v>
      </c>
    </row>
    <row r="1068" spans="1:1" x14ac:dyDescent="0.25">
      <c r="A1068" s="3" t="s">
        <v>359</v>
      </c>
    </row>
    <row r="1069" spans="1:1" x14ac:dyDescent="0.25">
      <c r="A1069" s="49" t="s">
        <v>1586</v>
      </c>
    </row>
    <row r="1070" spans="1:1" x14ac:dyDescent="0.25">
      <c r="A1070" s="3" t="s">
        <v>355</v>
      </c>
    </row>
    <row r="1071" spans="1:1" x14ac:dyDescent="0.25">
      <c r="A1071" s="49" t="s">
        <v>1586</v>
      </c>
    </row>
    <row r="1072" spans="1:1" x14ac:dyDescent="0.25">
      <c r="A1072" s="3" t="s">
        <v>889</v>
      </c>
    </row>
    <row r="1073" spans="1:1" x14ac:dyDescent="0.25">
      <c r="A1073" s="49" t="s">
        <v>1586</v>
      </c>
    </row>
    <row r="1074" spans="1:1" x14ac:dyDescent="0.25">
      <c r="A1074" s="3" t="s">
        <v>1046</v>
      </c>
    </row>
    <row r="1075" spans="1:1" x14ac:dyDescent="0.25">
      <c r="A1075" s="49" t="s">
        <v>1586</v>
      </c>
    </row>
    <row r="1076" spans="1:1" x14ac:dyDescent="0.25">
      <c r="A1076" s="3" t="s">
        <v>970</v>
      </c>
    </row>
    <row r="1077" spans="1:1" x14ac:dyDescent="0.25">
      <c r="A1077" s="49" t="s">
        <v>1586</v>
      </c>
    </row>
    <row r="1078" spans="1:1" x14ac:dyDescent="0.25">
      <c r="A1078" s="3" t="s">
        <v>976</v>
      </c>
    </row>
    <row r="1079" spans="1:1" x14ac:dyDescent="0.25">
      <c r="A1079" s="49" t="s">
        <v>1586</v>
      </c>
    </row>
    <row r="1080" spans="1:1" x14ac:dyDescent="0.25">
      <c r="A1080" s="3" t="s">
        <v>966</v>
      </c>
    </row>
    <row r="1081" spans="1:1" x14ac:dyDescent="0.25">
      <c r="A1081" s="49" t="s">
        <v>1586</v>
      </c>
    </row>
    <row r="1082" spans="1:1" x14ac:dyDescent="0.25">
      <c r="A1082" s="3" t="s">
        <v>753</v>
      </c>
    </row>
    <row r="1083" spans="1:1" x14ac:dyDescent="0.25">
      <c r="A1083" s="49" t="s">
        <v>1586</v>
      </c>
    </row>
    <row r="1084" spans="1:1" x14ac:dyDescent="0.25">
      <c r="A1084" s="3" t="s">
        <v>64</v>
      </c>
    </row>
    <row r="1085" spans="1:1" x14ac:dyDescent="0.25">
      <c r="A1085" s="49" t="s">
        <v>1586</v>
      </c>
    </row>
    <row r="1086" spans="1:1" x14ac:dyDescent="0.25">
      <c r="A1086" s="3" t="s">
        <v>1682</v>
      </c>
    </row>
    <row r="1087" spans="1:1" x14ac:dyDescent="0.25">
      <c r="A1087" s="49" t="s">
        <v>1586</v>
      </c>
    </row>
    <row r="1088" spans="1:1" x14ac:dyDescent="0.25">
      <c r="A1088" s="3" t="s">
        <v>1683</v>
      </c>
    </row>
    <row r="1089" spans="1:1" x14ac:dyDescent="0.25">
      <c r="A1089" s="49" t="s">
        <v>1586</v>
      </c>
    </row>
    <row r="1090" spans="1:1" x14ac:dyDescent="0.25">
      <c r="A1090" s="3" t="s">
        <v>9</v>
      </c>
    </row>
    <row r="1091" spans="1:1" x14ac:dyDescent="0.25">
      <c r="A1091" s="49" t="s">
        <v>1586</v>
      </c>
    </row>
    <row r="1092" spans="1:1" x14ac:dyDescent="0.25">
      <c r="A1092" s="3" t="s">
        <v>1684</v>
      </c>
    </row>
    <row r="1093" spans="1:1" x14ac:dyDescent="0.25">
      <c r="A1093" s="49" t="s">
        <v>1586</v>
      </c>
    </row>
    <row r="1094" spans="1:1" x14ac:dyDescent="0.25">
      <c r="A1094" s="3" t="s">
        <v>1685</v>
      </c>
    </row>
    <row r="1095" spans="1:1" x14ac:dyDescent="0.25">
      <c r="A1095" s="49" t="s">
        <v>1586</v>
      </c>
    </row>
    <row r="1096" spans="1:1" x14ac:dyDescent="0.25">
      <c r="A1096" s="3" t="s">
        <v>1686</v>
      </c>
    </row>
    <row r="1097" spans="1:1" x14ac:dyDescent="0.25">
      <c r="A1097" s="49" t="s">
        <v>1586</v>
      </c>
    </row>
    <row r="1098" spans="1:1" x14ac:dyDescent="0.25">
      <c r="A1098" s="3" t="s">
        <v>1687</v>
      </c>
    </row>
    <row r="1099" spans="1:1" x14ac:dyDescent="0.25">
      <c r="A1099" s="49" t="s">
        <v>1586</v>
      </c>
    </row>
    <row r="1100" spans="1:1" x14ac:dyDescent="0.25">
      <c r="A1100" s="3" t="s">
        <v>1688</v>
      </c>
    </row>
    <row r="1101" spans="1:1" x14ac:dyDescent="0.25">
      <c r="A1101" s="49" t="s">
        <v>1586</v>
      </c>
    </row>
    <row r="1102" spans="1:1" x14ac:dyDescent="0.25">
      <c r="A1102" s="3" t="s">
        <v>1689</v>
      </c>
    </row>
    <row r="1103" spans="1:1" x14ac:dyDescent="0.25">
      <c r="A1103" s="49" t="s">
        <v>1586</v>
      </c>
    </row>
    <row r="1104" spans="1:1" x14ac:dyDescent="0.25">
      <c r="A1104" s="3" t="s">
        <v>1690</v>
      </c>
    </row>
    <row r="1105" spans="1:1" x14ac:dyDescent="0.25">
      <c r="A1105" s="49" t="s">
        <v>1586</v>
      </c>
    </row>
    <row r="1106" spans="1:1" x14ac:dyDescent="0.25">
      <c r="A1106" s="3" t="s">
        <v>1691</v>
      </c>
    </row>
    <row r="1107" spans="1:1" x14ac:dyDescent="0.25">
      <c r="A1107" s="49" t="s">
        <v>1586</v>
      </c>
    </row>
    <row r="1108" spans="1:1" x14ac:dyDescent="0.25">
      <c r="A1108" s="3" t="s">
        <v>1692</v>
      </c>
    </row>
    <row r="1109" spans="1:1" x14ac:dyDescent="0.25">
      <c r="A1109" s="49" t="s">
        <v>1586</v>
      </c>
    </row>
    <row r="1110" spans="1:1" x14ac:dyDescent="0.25">
      <c r="A1110" s="3" t="s">
        <v>1693</v>
      </c>
    </row>
    <row r="1111" spans="1:1" x14ac:dyDescent="0.25">
      <c r="A1111" s="49" t="s">
        <v>1586</v>
      </c>
    </row>
    <row r="1112" spans="1:1" x14ac:dyDescent="0.25">
      <c r="A1112" s="3" t="s">
        <v>1694</v>
      </c>
    </row>
    <row r="1113" spans="1:1" x14ac:dyDescent="0.25">
      <c r="A1113" s="49" t="s">
        <v>1586</v>
      </c>
    </row>
    <row r="1114" spans="1:1" x14ac:dyDescent="0.25">
      <c r="A1114" s="3" t="s">
        <v>1695</v>
      </c>
    </row>
    <row r="1115" spans="1:1" x14ac:dyDescent="0.25">
      <c r="A1115" s="49" t="s">
        <v>1586</v>
      </c>
    </row>
    <row r="1116" spans="1:1" x14ac:dyDescent="0.25">
      <c r="A1116" s="3" t="s">
        <v>1696</v>
      </c>
    </row>
    <row r="1117" spans="1:1" x14ac:dyDescent="0.25">
      <c r="A1117" s="49" t="s">
        <v>1586</v>
      </c>
    </row>
    <row r="1118" spans="1:1" x14ac:dyDescent="0.25">
      <c r="A1118" s="3" t="s">
        <v>1697</v>
      </c>
    </row>
    <row r="1119" spans="1:1" x14ac:dyDescent="0.25">
      <c r="A1119" s="49" t="s">
        <v>1586</v>
      </c>
    </row>
    <row r="1120" spans="1:1" x14ac:dyDescent="0.25">
      <c r="A1120" s="3" t="s">
        <v>1698</v>
      </c>
    </row>
    <row r="1121" spans="1:1" x14ac:dyDescent="0.25">
      <c r="A1121" s="49" t="s">
        <v>1586</v>
      </c>
    </row>
    <row r="1122" spans="1:1" x14ac:dyDescent="0.25">
      <c r="A1122" s="3" t="s">
        <v>1699</v>
      </c>
    </row>
    <row r="1123" spans="1:1" x14ac:dyDescent="0.25">
      <c r="A1123" s="49" t="s">
        <v>1586</v>
      </c>
    </row>
    <row r="1124" spans="1:1" x14ac:dyDescent="0.25">
      <c r="A1124" s="3" t="s">
        <v>1700</v>
      </c>
    </row>
    <row r="1125" spans="1:1" x14ac:dyDescent="0.25">
      <c r="A1125" s="49" t="s">
        <v>1586</v>
      </c>
    </row>
    <row r="1126" spans="1:1" x14ac:dyDescent="0.25">
      <c r="A1126" s="3" t="s">
        <v>1701</v>
      </c>
    </row>
    <row r="1127" spans="1:1" x14ac:dyDescent="0.25">
      <c r="A1127" s="49" t="s">
        <v>1586</v>
      </c>
    </row>
    <row r="1128" spans="1:1" x14ac:dyDescent="0.25">
      <c r="A1128" s="3" t="s">
        <v>1702</v>
      </c>
    </row>
    <row r="1129" spans="1:1" x14ac:dyDescent="0.25">
      <c r="A1129" s="49" t="s">
        <v>1586</v>
      </c>
    </row>
    <row r="1130" spans="1:1" x14ac:dyDescent="0.25">
      <c r="A1130" s="3" t="s">
        <v>1703</v>
      </c>
    </row>
    <row r="1131" spans="1:1" x14ac:dyDescent="0.25">
      <c r="A1131" s="49" t="s">
        <v>1586</v>
      </c>
    </row>
    <row r="1132" spans="1:1" x14ac:dyDescent="0.25">
      <c r="A1132" s="3" t="s">
        <v>1704</v>
      </c>
    </row>
    <row r="1133" spans="1:1" x14ac:dyDescent="0.25">
      <c r="A1133" s="49" t="s">
        <v>1586</v>
      </c>
    </row>
    <row r="1134" spans="1:1" x14ac:dyDescent="0.25">
      <c r="A1134" s="3" t="s">
        <v>1705</v>
      </c>
    </row>
    <row r="1135" spans="1:1" x14ac:dyDescent="0.25">
      <c r="A1135" s="49" t="s">
        <v>1586</v>
      </c>
    </row>
    <row r="1136" spans="1:1" x14ac:dyDescent="0.25">
      <c r="A1136" s="3" t="s">
        <v>1706</v>
      </c>
    </row>
    <row r="1137" spans="1:1" x14ac:dyDescent="0.25">
      <c r="A1137" s="49" t="s">
        <v>1586</v>
      </c>
    </row>
    <row r="1138" spans="1:1" x14ac:dyDescent="0.25">
      <c r="A1138" s="3" t="s">
        <v>1707</v>
      </c>
    </row>
    <row r="1139" spans="1:1" x14ac:dyDescent="0.25">
      <c r="A1139" s="49" t="s">
        <v>1586</v>
      </c>
    </row>
    <row r="1140" spans="1:1" x14ac:dyDescent="0.25">
      <c r="A1140" s="3" t="s">
        <v>1586</v>
      </c>
    </row>
    <row r="1141" spans="1:1" x14ac:dyDescent="0.25">
      <c r="A1141" s="49" t="s">
        <v>1586</v>
      </c>
    </row>
    <row r="1142" spans="1:1" x14ac:dyDescent="0.25">
      <c r="A1142" s="3" t="s">
        <v>1708</v>
      </c>
    </row>
  </sheetData>
  <pageMargins left="0.7" right="0.7" top="0.75" bottom="0.75" header="0.3" footer="0.3"/>
  <headerFooter>
    <oddFooter>&amp;L_x000D_&amp;1#&amp;"Calibri"&amp;10&amp;K000000 DS Smith –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0549-08AE-4660-A022-CFBD28688E96}">
  <dimension ref="A1:L620"/>
  <sheetViews>
    <sheetView topLeftCell="H1" workbookViewId="0">
      <selection activeCell="I325" sqref="I2:I325"/>
    </sheetView>
  </sheetViews>
  <sheetFormatPr defaultRowHeight="15" x14ac:dyDescent="0.25"/>
  <cols>
    <col min="1" max="1" width="31.5703125" bestFit="1" customWidth="1"/>
    <col min="2" max="2" width="33.140625" customWidth="1"/>
    <col min="8" max="8" width="175.42578125" style="50" bestFit="1" customWidth="1"/>
    <col min="9" max="9" width="32.42578125" style="50" bestFit="1" customWidth="1"/>
    <col min="10" max="10" width="33" style="50" bestFit="1" customWidth="1"/>
  </cols>
  <sheetData>
    <row r="1" spans="1:12" ht="15.75" x14ac:dyDescent="0.25">
      <c r="A1" s="34" t="s">
        <v>2</v>
      </c>
      <c r="B1" s="35" t="s">
        <v>1709</v>
      </c>
      <c r="H1" s="50" t="s">
        <v>1710</v>
      </c>
      <c r="I1" s="50" t="s">
        <v>1711</v>
      </c>
      <c r="J1" s="50" t="s">
        <v>1712</v>
      </c>
    </row>
    <row r="2" spans="1:12" x14ac:dyDescent="0.25">
      <c r="A2" s="44" t="s">
        <v>1299</v>
      </c>
      <c r="B2" s="47" t="s">
        <v>1307</v>
      </c>
      <c r="H2" s="50" t="s">
        <v>1450</v>
      </c>
      <c r="I2" s="50" t="s">
        <v>1295</v>
      </c>
      <c r="J2" t="str">
        <f>IFERROR(VLOOKUP(Table358[[#This Row],[R&amp;D Tags]],'Old List of R&amp;D Tags vs IDI'!H:H,1,FALSE), " ")</f>
        <v>QMS11_SCN1QM1-X</v>
      </c>
    </row>
    <row r="3" spans="1:12" x14ac:dyDescent="0.25">
      <c r="A3" s="44" t="s">
        <v>1303</v>
      </c>
      <c r="B3" s="46" t="s">
        <v>1449</v>
      </c>
      <c r="H3" s="50" t="s">
        <v>1451</v>
      </c>
      <c r="I3" s="50" t="s">
        <v>1367</v>
      </c>
      <c r="J3" t="str">
        <f>IFERROR(VLOOKUP(Table35[[#This Row],[R&amp;D Tags]],H:H,1,FALSE), " ")</f>
        <v>1-000-A005_11-X</v>
      </c>
    </row>
    <row r="4" spans="1:12" x14ac:dyDescent="0.25">
      <c r="A4" s="45" t="s">
        <v>1307</v>
      </c>
      <c r="B4" s="47" t="s">
        <v>1295</v>
      </c>
      <c r="H4" s="50" t="s">
        <v>1452</v>
      </c>
      <c r="I4" s="50" t="s">
        <v>1319</v>
      </c>
      <c r="J4" t="str">
        <f>IFERROR(VLOOKUP(Table35[[#This Row],[R&amp;D Tags]],H:H,1,FALSE), " ")</f>
        <v>1-000-CC005_1_1-X</v>
      </c>
      <c r="L4" t="s">
        <v>1713</v>
      </c>
    </row>
    <row r="5" spans="1:12" x14ac:dyDescent="0.25">
      <c r="A5" s="45" t="s">
        <v>1295</v>
      </c>
      <c r="B5" s="27" t="s">
        <v>1450</v>
      </c>
      <c r="H5" s="50" t="s">
        <v>1453</v>
      </c>
      <c r="I5" s="50" t="s">
        <v>1331</v>
      </c>
      <c r="J5" t="str">
        <f>IFERROR(VLOOKUP(Table35[[#This Row],[R&amp;D Tags]],H:H,1,FALSE), " ")</f>
        <v>1-000-CC005_1_2-X</v>
      </c>
      <c r="L5" t="s">
        <v>1714</v>
      </c>
    </row>
    <row r="6" spans="1:12" x14ac:dyDescent="0.25">
      <c r="A6" t="s">
        <v>1367</v>
      </c>
      <c r="B6" s="27" t="s">
        <v>1451</v>
      </c>
      <c r="H6" s="50" t="s">
        <v>1454</v>
      </c>
      <c r="I6" s="50" t="s">
        <v>1343</v>
      </c>
      <c r="J6" t="str">
        <f>IFERROR(VLOOKUP(Table35[[#This Row],[R&amp;D Tags]],H:H,1,FALSE), " ")</f>
        <v>1-000-CC005_1_3-X</v>
      </c>
    </row>
    <row r="7" spans="1:12" x14ac:dyDescent="0.25">
      <c r="A7" s="5" t="s">
        <v>1264</v>
      </c>
      <c r="B7" s="27" t="s">
        <v>1367</v>
      </c>
      <c r="H7" s="50" t="s">
        <v>1455</v>
      </c>
      <c r="I7" s="50" t="s">
        <v>1201</v>
      </c>
      <c r="J7" t="str">
        <f>IFERROR(VLOOKUP(Table35[[#This Row],[R&amp;D Tags]],H:H,1,FALSE), " ")</f>
        <v>1-000-CC006_01-X</v>
      </c>
    </row>
    <row r="8" spans="1:12" x14ac:dyDescent="0.25">
      <c r="A8" t="s">
        <v>1319</v>
      </c>
      <c r="B8" s="27" t="s">
        <v>1452</v>
      </c>
      <c r="H8" s="50" t="s">
        <v>1456</v>
      </c>
      <c r="I8" s="50" t="s">
        <v>1205</v>
      </c>
      <c r="J8" t="str">
        <f>IFERROR(VLOOKUP(Table35[[#This Row],[R&amp;D Tags]],H:H,1,FALSE), " ")</f>
        <v>1-000-CC007_01-X</v>
      </c>
    </row>
    <row r="9" spans="1:12" x14ac:dyDescent="0.25">
      <c r="A9" t="s">
        <v>1331</v>
      </c>
      <c r="B9" s="27" t="s">
        <v>1453</v>
      </c>
      <c r="H9" s="50" t="s">
        <v>1457</v>
      </c>
      <c r="I9" s="50" t="s">
        <v>1267</v>
      </c>
      <c r="J9" t="str">
        <f>IFERROR(VLOOKUP(Table35[[#This Row],[R&amp;D Tags]],H:H,1,FALSE), " ")</f>
        <v>1-000-EI002_1-X</v>
      </c>
    </row>
    <row r="10" spans="1:12" x14ac:dyDescent="0.25">
      <c r="A10" t="s">
        <v>1343</v>
      </c>
      <c r="B10" s="27" t="s">
        <v>1454</v>
      </c>
      <c r="H10" s="50" t="s">
        <v>1458</v>
      </c>
      <c r="I10" s="50" t="s">
        <v>1327</v>
      </c>
      <c r="J10" t="str">
        <f>IFERROR(VLOOKUP(Table35[[#This Row],[R&amp;D Tags]],H:H,1,FALSE), " ")</f>
        <v>1-000-FC005_1-X</v>
      </c>
    </row>
    <row r="11" spans="1:12" x14ac:dyDescent="0.25">
      <c r="A11" t="s">
        <v>1201</v>
      </c>
      <c r="B11" s="27" t="s">
        <v>1455</v>
      </c>
      <c r="H11" s="50" t="s">
        <v>1459</v>
      </c>
      <c r="I11" s="50" t="s">
        <v>1335</v>
      </c>
      <c r="J11" t="str">
        <f>IFERROR(VLOOKUP(Table35[[#This Row],[R&amp;D Tags]],H:H,1,FALSE), " ")</f>
        <v>1-000-FC005_8_1-X</v>
      </c>
    </row>
    <row r="12" spans="1:12" x14ac:dyDescent="0.25">
      <c r="A12" t="s">
        <v>1205</v>
      </c>
      <c r="B12" s="27" t="s">
        <v>1456</v>
      </c>
      <c r="H12" s="50" t="s">
        <v>1460</v>
      </c>
      <c r="I12" s="50" t="s">
        <v>180</v>
      </c>
      <c r="J12" t="str">
        <f>IFERROR(VLOOKUP(Table35[[#This Row],[R&amp;D Tags]],H:H,1,FALSE), " ")</f>
        <v>1-000-FC028_02-X</v>
      </c>
    </row>
    <row r="13" spans="1:12" x14ac:dyDescent="0.25">
      <c r="A13" t="s">
        <v>1267</v>
      </c>
      <c r="B13" s="27" t="s">
        <v>1457</v>
      </c>
      <c r="H13" s="50" t="s">
        <v>1461</v>
      </c>
      <c r="I13" s="50" t="s">
        <v>1351</v>
      </c>
      <c r="J13" t="str">
        <f>IFERROR(VLOOKUP(Table35[[#This Row],[R&amp;D Tags]],H:H,1,FALSE), " ")</f>
        <v>1-000-FI005_9_1-X</v>
      </c>
    </row>
    <row r="14" spans="1:12" x14ac:dyDescent="0.25">
      <c r="A14" t="s">
        <v>1287</v>
      </c>
      <c r="B14" s="27" t="s">
        <v>1319</v>
      </c>
      <c r="H14" s="50" t="s">
        <v>1462</v>
      </c>
      <c r="I14" s="50" t="s">
        <v>1271</v>
      </c>
      <c r="J14" t="str">
        <f>IFERROR(VLOOKUP(Table35[[#This Row],[R&amp;D Tags]],H:H,1,FALSE), " ")</f>
        <v>1-000-PI002_2DP-X</v>
      </c>
    </row>
    <row r="15" spans="1:12" x14ac:dyDescent="0.25">
      <c r="A15" t="s">
        <v>1291</v>
      </c>
      <c r="B15" s="27" t="s">
        <v>1331</v>
      </c>
      <c r="H15" s="50" t="s">
        <v>1463</v>
      </c>
      <c r="I15" s="50" t="s">
        <v>206</v>
      </c>
      <c r="J15" t="str">
        <f>IFERROR(VLOOKUP(Table35[[#This Row],[R&amp;D Tags]],H:H,1,FALSE), " ")</f>
        <v>2-000-2A1J16-P</v>
      </c>
    </row>
    <row r="16" spans="1:12" x14ac:dyDescent="0.25">
      <c r="A16" t="s">
        <v>1359</v>
      </c>
      <c r="B16" s="27" t="s">
        <v>1343</v>
      </c>
      <c r="H16" s="50" t="s">
        <v>1464</v>
      </c>
      <c r="I16" s="50" t="s">
        <v>203</v>
      </c>
      <c r="J16" t="str">
        <f>IFERROR(VLOOKUP(Table35[[#This Row],[R&amp;D Tags]],H:H,1,FALSE), " ")</f>
        <v>2-000-2A1J17-P</v>
      </c>
    </row>
    <row r="17" spans="1:10" x14ac:dyDescent="0.25">
      <c r="A17" t="s">
        <v>1347</v>
      </c>
      <c r="B17" s="27" t="s">
        <v>1201</v>
      </c>
      <c r="H17" s="50" t="s">
        <v>1465</v>
      </c>
      <c r="I17" s="50" t="s">
        <v>215</v>
      </c>
      <c r="J17" t="str">
        <f>IFERROR(VLOOKUP(Table35[[#This Row],[R&amp;D Tags]],H:H,1,FALSE), " ")</f>
        <v>2-000-2A1J18-P</v>
      </c>
    </row>
    <row r="18" spans="1:10" x14ac:dyDescent="0.25">
      <c r="A18" t="s">
        <v>1275</v>
      </c>
      <c r="B18" s="27" t="s">
        <v>1201</v>
      </c>
      <c r="H18" s="50" t="s">
        <v>1466</v>
      </c>
      <c r="I18" s="50" t="s">
        <v>240</v>
      </c>
      <c r="J18" t="str">
        <f>IFERROR(VLOOKUP(Table35[[#This Row],[R&amp;D Tags]],H:H,1,FALSE), " ")</f>
        <v>2-000-2A1J22-P</v>
      </c>
    </row>
    <row r="19" spans="1:10" x14ac:dyDescent="0.25">
      <c r="A19" t="s">
        <v>1283</v>
      </c>
      <c r="B19" s="27" t="s">
        <v>1201</v>
      </c>
      <c r="H19" s="50" t="s">
        <v>1467</v>
      </c>
      <c r="I19" s="50" t="s">
        <v>233</v>
      </c>
      <c r="J19" t="str">
        <f>IFERROR(VLOOKUP(Table35[[#This Row],[R&amp;D Tags]],H:H,1,FALSE), " ")</f>
        <v>2-000-2A1J23-P</v>
      </c>
    </row>
    <row r="20" spans="1:10" x14ac:dyDescent="0.25">
      <c r="A20" t="s">
        <v>1375</v>
      </c>
      <c r="B20" s="27" t="s">
        <v>1205</v>
      </c>
      <c r="H20" s="50" t="s">
        <v>1468</v>
      </c>
      <c r="I20" s="50" t="s">
        <v>230</v>
      </c>
      <c r="J20" t="str">
        <f>IFERROR(VLOOKUP(Table35[[#This Row],[R&amp;D Tags]],H:H,1,FALSE), " ")</f>
        <v>2-000-2A1J24-P</v>
      </c>
    </row>
    <row r="21" spans="1:10" x14ac:dyDescent="0.25">
      <c r="A21" t="s">
        <v>1379</v>
      </c>
      <c r="B21" s="27" t="s">
        <v>1205</v>
      </c>
      <c r="H21" s="50" t="s">
        <v>1469</v>
      </c>
      <c r="I21" s="50" t="s">
        <v>218</v>
      </c>
      <c r="J21" t="str">
        <f>IFERROR(VLOOKUP(Table35[[#This Row],[R&amp;D Tags]],H:H,1,FALSE), " ")</f>
        <v>2-000-2A1J25-P</v>
      </c>
    </row>
    <row r="22" spans="1:10" x14ac:dyDescent="0.25">
      <c r="A22" t="s">
        <v>1383</v>
      </c>
      <c r="B22" s="26" t="s">
        <v>1205</v>
      </c>
      <c r="H22" s="50" t="s">
        <v>1470</v>
      </c>
      <c r="I22" s="50" t="s">
        <v>227</v>
      </c>
      <c r="J22" t="str">
        <f>IFERROR(VLOOKUP(Table35[[#This Row],[R&amp;D Tags]],H:H,1,FALSE), " ")</f>
        <v>2-000-2A1J26-P</v>
      </c>
    </row>
    <row r="23" spans="1:10" x14ac:dyDescent="0.25">
      <c r="A23" t="s">
        <v>1387</v>
      </c>
      <c r="B23" s="27" t="s">
        <v>1267</v>
      </c>
      <c r="H23" s="50" t="s">
        <v>1471</v>
      </c>
      <c r="I23" s="50" t="s">
        <v>224</v>
      </c>
      <c r="J23" t="str">
        <f>IFERROR(VLOOKUP(Table35[[#This Row],[R&amp;D Tags]],H:H,1,FALSE), " ")</f>
        <v>2-000-2A1J27-P</v>
      </c>
    </row>
    <row r="24" spans="1:10" x14ac:dyDescent="0.25">
      <c r="A24" t="s">
        <v>1327</v>
      </c>
      <c r="B24" s="27" t="s">
        <v>1458</v>
      </c>
      <c r="H24" s="50" t="s">
        <v>1472</v>
      </c>
      <c r="I24" s="50" t="s">
        <v>221</v>
      </c>
      <c r="J24" t="str">
        <f>IFERROR(VLOOKUP(Table35[[#This Row],[R&amp;D Tags]],H:H,1,FALSE), " ")</f>
        <v>2-000-2A1J28-P</v>
      </c>
    </row>
    <row r="25" spans="1:10" x14ac:dyDescent="0.25">
      <c r="A25" t="s">
        <v>1323</v>
      </c>
      <c r="B25" s="27" t="s">
        <v>1287</v>
      </c>
      <c r="H25" s="50" t="s">
        <v>1473</v>
      </c>
      <c r="I25" s="50" t="s">
        <v>244</v>
      </c>
      <c r="J25" t="str">
        <f>IFERROR(VLOOKUP(Table35[[#This Row],[R&amp;D Tags]],H:H,1,FALSE), " ")</f>
        <v>2-000-2A1J33-P</v>
      </c>
    </row>
    <row r="26" spans="1:10" x14ac:dyDescent="0.25">
      <c r="A26" t="s">
        <v>1315</v>
      </c>
      <c r="B26" s="27" t="s">
        <v>1291</v>
      </c>
      <c r="H26" s="50" t="s">
        <v>1474</v>
      </c>
      <c r="I26" s="50" t="s">
        <v>248</v>
      </c>
      <c r="J26" t="str">
        <f>IFERROR(VLOOKUP(Table35[[#This Row],[R&amp;D Tags]],H:H,1,FALSE), " ")</f>
        <v>2-000-2A1J34-P</v>
      </c>
    </row>
    <row r="27" spans="1:10" x14ac:dyDescent="0.25">
      <c r="A27" t="s">
        <v>1311</v>
      </c>
      <c r="B27" s="27" t="s">
        <v>1359</v>
      </c>
      <c r="H27" s="50" t="s">
        <v>1475</v>
      </c>
      <c r="I27" s="50" t="s">
        <v>665</v>
      </c>
      <c r="J27" t="str">
        <f>IFERROR(VLOOKUP(Table35[[#This Row],[R&amp;D Tags]],H:H,1,FALSE), " ")</f>
        <v>2-003-UZ001-MD_SPEED-X</v>
      </c>
    </row>
    <row r="28" spans="1:10" x14ac:dyDescent="0.25">
      <c r="A28" t="s">
        <v>1335</v>
      </c>
      <c r="B28" s="27" t="s">
        <v>1459</v>
      </c>
      <c r="H28" s="50" t="s">
        <v>1476</v>
      </c>
      <c r="I28" s="50" t="s">
        <v>1148</v>
      </c>
      <c r="J28" t="str">
        <f>IFERROR(VLOOKUP(Table35[[#This Row],[R&amp;D Tags]],H:H,1,FALSE), " ")</f>
        <v>2-006-GI011_01-X</v>
      </c>
    </row>
    <row r="29" spans="1:10" x14ac:dyDescent="0.25">
      <c r="A29" t="s">
        <v>1339</v>
      </c>
      <c r="B29" s="27" t="s">
        <v>1275</v>
      </c>
      <c r="H29" s="50" t="s">
        <v>1477</v>
      </c>
      <c r="I29" s="50" t="s">
        <v>1173</v>
      </c>
      <c r="J29" t="str">
        <f>IFERROR(VLOOKUP(Table35[[#This Row],[R&amp;D Tags]],H:H,1,FALSE), " ")</f>
        <v>2-008-A041_10-X</v>
      </c>
    </row>
    <row r="30" spans="1:10" x14ac:dyDescent="0.25">
      <c r="A30" t="s">
        <v>1371</v>
      </c>
      <c r="B30" s="27" t="s">
        <v>1283</v>
      </c>
      <c r="H30" s="50" t="s">
        <v>1478</v>
      </c>
      <c r="I30" s="50" t="s">
        <v>1157</v>
      </c>
      <c r="J30" t="str">
        <f>IFERROR(VLOOKUP(Table35[[#This Row],[R&amp;D Tags]],H:H,1,FALSE), " ")</f>
        <v>2-008-CC031_01-X</v>
      </c>
    </row>
    <row r="31" spans="1:10" x14ac:dyDescent="0.25">
      <c r="A31" t="s">
        <v>177</v>
      </c>
      <c r="B31" s="27" t="s">
        <v>1375</v>
      </c>
      <c r="H31" s="50" t="s">
        <v>1479</v>
      </c>
      <c r="I31" s="50" t="s">
        <v>1260</v>
      </c>
      <c r="J31" t="str">
        <f>IFERROR(VLOOKUP(Table35[[#This Row],[R&amp;D Tags]],H:H,1,FALSE), " ")</f>
        <v>2-008-CC040_01-X</v>
      </c>
    </row>
    <row r="32" spans="1:10" x14ac:dyDescent="0.25">
      <c r="A32" t="s">
        <v>180</v>
      </c>
      <c r="B32" s="27" t="s">
        <v>1460</v>
      </c>
      <c r="H32" s="50" t="s">
        <v>1480</v>
      </c>
      <c r="I32" s="50" t="s">
        <v>1193</v>
      </c>
      <c r="J32" t="str">
        <f>IFERROR(VLOOKUP(Table35[[#This Row],[R&amp;D Tags]],H:H,1,FALSE), " ")</f>
        <v>2-008-FC031_01-X</v>
      </c>
    </row>
    <row r="33" spans="1:10" x14ac:dyDescent="0.25">
      <c r="A33" t="s">
        <v>184</v>
      </c>
      <c r="B33" s="27" t="s">
        <v>1387</v>
      </c>
      <c r="H33" s="50" t="s">
        <v>1481</v>
      </c>
      <c r="I33" s="50" t="s">
        <v>1197</v>
      </c>
      <c r="J33" t="str">
        <f>IFERROR(VLOOKUP(Table35[[#This Row],[R&amp;D Tags]],H:H,1,FALSE), " ")</f>
        <v>2-008-FC031_02-X</v>
      </c>
    </row>
    <row r="34" spans="1:10" x14ac:dyDescent="0.25">
      <c r="A34" t="s">
        <v>1351</v>
      </c>
      <c r="B34" s="27" t="s">
        <v>1461</v>
      </c>
      <c r="H34" s="50" t="s">
        <v>1482</v>
      </c>
      <c r="I34" s="50" t="s">
        <v>1216</v>
      </c>
      <c r="J34" t="str">
        <f>IFERROR(VLOOKUP(Table35[[#This Row],[R&amp;D Tags]],H:H,1,FALSE), " ")</f>
        <v>2-008-FC031_04-X</v>
      </c>
    </row>
    <row r="35" spans="1:10" x14ac:dyDescent="0.25">
      <c r="A35" t="s">
        <v>1271</v>
      </c>
      <c r="B35" s="27" t="s">
        <v>1462</v>
      </c>
      <c r="H35" s="50" t="s">
        <v>1483</v>
      </c>
      <c r="I35" s="50" t="s">
        <v>172</v>
      </c>
      <c r="J35" t="str">
        <f>IFERROR(VLOOKUP(Table35[[#This Row],[R&amp;D Tags]],H:H,1,FALSE), " ")</f>
        <v>2-008-FC080_01_1-X</v>
      </c>
    </row>
    <row r="36" spans="1:10" x14ac:dyDescent="0.25">
      <c r="A36" t="s">
        <v>1279</v>
      </c>
      <c r="B36" s="27" t="s">
        <v>1327</v>
      </c>
      <c r="H36" s="50" t="s">
        <v>1484</v>
      </c>
      <c r="I36" s="50" t="s">
        <v>169</v>
      </c>
      <c r="J36" t="str">
        <f>IFERROR(VLOOKUP(Table35[[#This Row],[R&amp;D Tags]],H:H,1,FALSE), " ")</f>
        <v>2-008-FC080_01_2-X</v>
      </c>
    </row>
    <row r="37" spans="1:10" x14ac:dyDescent="0.25">
      <c r="A37" t="s">
        <v>1355</v>
      </c>
      <c r="B37" s="27" t="s">
        <v>1323</v>
      </c>
      <c r="H37" s="50" t="s">
        <v>1486</v>
      </c>
      <c r="I37" s="50" t="s">
        <v>166</v>
      </c>
      <c r="J37" t="str">
        <f>IFERROR(VLOOKUP(Table35[[#This Row],[R&amp;D Tags]],H:H,1,FALSE), " ")</f>
        <v>2-008-FC080_04_2-X</v>
      </c>
    </row>
    <row r="38" spans="1:10" x14ac:dyDescent="0.25">
      <c r="A38" t="s">
        <v>1363</v>
      </c>
      <c r="B38" s="27" t="s">
        <v>1315</v>
      </c>
      <c r="H38" s="50" t="s">
        <v>1487</v>
      </c>
      <c r="I38" s="50" t="s">
        <v>163</v>
      </c>
      <c r="J38" t="str">
        <f>IFERROR(VLOOKUP(Table35[[#This Row],[R&amp;D Tags]],H:H,1,FALSE), " ")</f>
        <v>2-008-FC080_04_4-X</v>
      </c>
    </row>
    <row r="39" spans="1:10" x14ac:dyDescent="0.25">
      <c r="A39" t="s">
        <v>765</v>
      </c>
      <c r="B39" s="27" t="s">
        <v>1311</v>
      </c>
      <c r="H39" s="50" t="s">
        <v>1488</v>
      </c>
      <c r="I39" s="50" t="s">
        <v>131</v>
      </c>
      <c r="J39" t="str">
        <f>IFERROR(VLOOKUP(Table35[[#This Row],[R&amp;D Tags]],H:H,1,FALSE), " ")</f>
        <v>2-008-FC080_10_1-X</v>
      </c>
    </row>
    <row r="40" spans="1:10" x14ac:dyDescent="0.25">
      <c r="A40" t="s">
        <v>761</v>
      </c>
      <c r="B40" s="27" t="s">
        <v>1335</v>
      </c>
      <c r="H40" s="50" t="s">
        <v>1489</v>
      </c>
      <c r="I40" s="50" t="s">
        <v>134</v>
      </c>
      <c r="J40" t="str">
        <f>IFERROR(VLOOKUP(Table35[[#This Row],[R&amp;D Tags]],H:H,1,FALSE), " ")</f>
        <v>2-008-FC080_10_2-X</v>
      </c>
    </row>
    <row r="41" spans="1:10" x14ac:dyDescent="0.25">
      <c r="A41" s="6" t="s">
        <v>197</v>
      </c>
      <c r="B41" s="27" t="s">
        <v>1339</v>
      </c>
      <c r="H41" s="50" t="s">
        <v>1491</v>
      </c>
      <c r="I41" s="50" t="s">
        <v>143</v>
      </c>
      <c r="J41" t="str">
        <f>IFERROR(VLOOKUP(Table35[[#This Row],[R&amp;D Tags]],H:H,1,FALSE), " ")</f>
        <v>2-008-FC086_01-X</v>
      </c>
    </row>
    <row r="42" spans="1:10" x14ac:dyDescent="0.25">
      <c r="A42" s="6" t="s">
        <v>200</v>
      </c>
      <c r="B42" s="27" t="s">
        <v>1371</v>
      </c>
      <c r="H42" s="50" t="s">
        <v>1492</v>
      </c>
      <c r="I42" s="50" t="s">
        <v>1079</v>
      </c>
      <c r="J42" t="str">
        <f>IFERROR(VLOOKUP(Table35[[#This Row],[R&amp;D Tags]],H:H,1,FALSE), " ")</f>
        <v>2-008-FC087_01-X</v>
      </c>
    </row>
    <row r="43" spans="1:10" x14ac:dyDescent="0.25">
      <c r="A43" s="6" t="s">
        <v>206</v>
      </c>
      <c r="B43" s="27" t="s">
        <v>1463</v>
      </c>
      <c r="H43" s="50" t="s">
        <v>1493</v>
      </c>
      <c r="I43" s="50" t="s">
        <v>1091</v>
      </c>
      <c r="J43" t="str">
        <f>IFERROR(VLOOKUP(Table35[[#This Row],[R&amp;D Tags]],H:H,1,FALSE), " ")</f>
        <v>2-008-FC088-X</v>
      </c>
    </row>
    <row r="44" spans="1:10" x14ac:dyDescent="0.25">
      <c r="A44" s="6" t="s">
        <v>203</v>
      </c>
      <c r="B44" s="27" t="s">
        <v>1464</v>
      </c>
      <c r="H44" s="50" t="s">
        <v>1494</v>
      </c>
      <c r="I44" s="50" t="s">
        <v>1161</v>
      </c>
      <c r="J44" t="str">
        <f>IFERROR(VLOOKUP(Table35[[#This Row],[R&amp;D Tags]],H:H,1,FALSE), " ")</f>
        <v>2-008-FI033_01-X</v>
      </c>
    </row>
    <row r="45" spans="1:10" x14ac:dyDescent="0.25">
      <c r="A45" s="6" t="s">
        <v>215</v>
      </c>
      <c r="B45" s="27" t="s">
        <v>1465</v>
      </c>
      <c r="H45" s="50" t="s">
        <v>1495</v>
      </c>
      <c r="I45" s="50" t="s">
        <v>157</v>
      </c>
      <c r="J45" t="str">
        <f>IFERROR(VLOOKUP(Table35[[#This Row],[R&amp;D Tags]],H:H,1,FALSE), " ")</f>
        <v>2-008-FI080_03_3-X</v>
      </c>
    </row>
    <row r="46" spans="1:10" ht="15.75" x14ac:dyDescent="0.25">
      <c r="A46" s="6" t="s">
        <v>212</v>
      </c>
      <c r="B46" s="28" t="s">
        <v>177</v>
      </c>
      <c r="H46" s="50" t="s">
        <v>1496</v>
      </c>
      <c r="I46" s="50" t="s">
        <v>160</v>
      </c>
      <c r="J46" t="str">
        <f>IFERROR(VLOOKUP(Table35[[#This Row],[R&amp;D Tags]],H:H,1,FALSE), " ")</f>
        <v>2-008-FI080_03_4-X</v>
      </c>
    </row>
    <row r="47" spans="1:10" ht="15.75" x14ac:dyDescent="0.25">
      <c r="A47" s="6" t="s">
        <v>209</v>
      </c>
      <c r="B47" s="28" t="s">
        <v>180</v>
      </c>
      <c r="H47" s="50" t="s">
        <v>1497</v>
      </c>
      <c r="I47" s="50" t="s">
        <v>1083</v>
      </c>
      <c r="J47" t="str">
        <f>IFERROR(VLOOKUP(Table35[[#This Row],[R&amp;D Tags]],H:H,1,FALSE), " ")</f>
        <v>2-008-FI087_11-X</v>
      </c>
    </row>
    <row r="48" spans="1:10" ht="15.75" x14ac:dyDescent="0.25">
      <c r="A48" t="s">
        <v>236</v>
      </c>
      <c r="B48" s="28" t="s">
        <v>184</v>
      </c>
      <c r="H48" s="50" t="s">
        <v>1498</v>
      </c>
      <c r="I48" s="50" t="s">
        <v>1099</v>
      </c>
      <c r="J48" t="str">
        <f>IFERROR(VLOOKUP(Table35[[#This Row],[R&amp;D Tags]],H:H,1,FALSE), " ")</f>
        <v>2-008-FI087_21-X</v>
      </c>
    </row>
    <row r="49" spans="1:10" x14ac:dyDescent="0.25">
      <c r="A49" s="6" t="s">
        <v>240</v>
      </c>
      <c r="B49" s="27" t="s">
        <v>1466</v>
      </c>
      <c r="H49" s="50" t="s">
        <v>1499</v>
      </c>
      <c r="I49" s="50" t="s">
        <v>1103</v>
      </c>
      <c r="J49" t="str">
        <f>IFERROR(VLOOKUP(Table35[[#This Row],[R&amp;D Tags]],H:H,1,FALSE), " ")</f>
        <v>2-008-FI087_22-X</v>
      </c>
    </row>
    <row r="50" spans="1:10" x14ac:dyDescent="0.25">
      <c r="A50" s="6" t="s">
        <v>233</v>
      </c>
      <c r="B50" s="27" t="s">
        <v>1467</v>
      </c>
      <c r="H50" s="50" t="s">
        <v>1500</v>
      </c>
      <c r="I50" s="50" t="s">
        <v>1111</v>
      </c>
      <c r="J50" t="str">
        <f>IFERROR(VLOOKUP(Table35[[#This Row],[R&amp;D Tags]],H:H,1,FALSE), " ")</f>
        <v>2-008-FI087_23-X</v>
      </c>
    </row>
    <row r="51" spans="1:10" x14ac:dyDescent="0.25">
      <c r="A51" s="6" t="s">
        <v>230</v>
      </c>
      <c r="B51" s="27" t="s">
        <v>1468</v>
      </c>
      <c r="H51" s="50" t="s">
        <v>1501</v>
      </c>
      <c r="I51" s="50" t="s">
        <v>1107</v>
      </c>
      <c r="J51" t="str">
        <f>IFERROR(VLOOKUP(Table35[[#This Row],[R&amp;D Tags]],H:H,1,FALSE), " ")</f>
        <v>2-008-FI087_24-X</v>
      </c>
    </row>
    <row r="52" spans="1:10" x14ac:dyDescent="0.25">
      <c r="A52" s="6" t="s">
        <v>218</v>
      </c>
      <c r="B52" s="27" t="s">
        <v>1469</v>
      </c>
      <c r="H52" s="50" t="s">
        <v>1505</v>
      </c>
      <c r="I52" s="50" t="s">
        <v>1127</v>
      </c>
      <c r="J52" t="str">
        <f>IFERROR(VLOOKUP(Table35[[#This Row],[R&amp;D Tags]],H:H,1,FALSE), " ")</f>
        <v>2-008-HC041_10_1-Y</v>
      </c>
    </row>
    <row r="53" spans="1:10" x14ac:dyDescent="0.25">
      <c r="A53" s="6" t="s">
        <v>227</v>
      </c>
      <c r="B53" s="27" t="s">
        <v>1470</v>
      </c>
      <c r="H53" s="50" t="s">
        <v>1506</v>
      </c>
      <c r="I53" s="50" t="s">
        <v>1123</v>
      </c>
      <c r="J53" t="str">
        <f>IFERROR(VLOOKUP(Table35[[#This Row],[R&amp;D Tags]],H:H,1,FALSE), " ")</f>
        <v>2-008-HC041_30_1-Y</v>
      </c>
    </row>
    <row r="54" spans="1:10" x14ac:dyDescent="0.25">
      <c r="A54" s="6" t="s">
        <v>224</v>
      </c>
      <c r="B54" s="27" t="s">
        <v>1471</v>
      </c>
      <c r="H54" s="50" t="s">
        <v>1507</v>
      </c>
      <c r="I54" s="50" t="s">
        <v>34</v>
      </c>
      <c r="J54" t="str">
        <f>IFERROR(VLOOKUP(Table35[[#This Row],[R&amp;D Tags]],H:H,1,FALSE), " ")</f>
        <v>2-008-P041_10-XI</v>
      </c>
    </row>
    <row r="55" spans="1:10" x14ac:dyDescent="0.25">
      <c r="A55" s="6" t="s">
        <v>221</v>
      </c>
      <c r="B55" s="27" t="s">
        <v>1472</v>
      </c>
      <c r="H55" s="50" t="s">
        <v>1508</v>
      </c>
      <c r="I55" s="50" t="s">
        <v>1189</v>
      </c>
      <c r="J55" t="str">
        <f>IFERROR(VLOOKUP(Table35[[#This Row],[R&amp;D Tags]],H:H,1,FALSE), " ")</f>
        <v>2-008-P041_30-XI</v>
      </c>
    </row>
    <row r="56" spans="1:10" x14ac:dyDescent="0.25">
      <c r="A56" s="6" t="s">
        <v>244</v>
      </c>
      <c r="B56" s="27" t="s">
        <v>1473</v>
      </c>
      <c r="H56" s="50" t="s">
        <v>1509</v>
      </c>
      <c r="I56" s="50" t="s">
        <v>1153</v>
      </c>
      <c r="J56" t="str">
        <f>IFERROR(VLOOKUP(Table35[[#This Row],[R&amp;D Tags]],H:H,1,FALSE), " ")</f>
        <v>2-008-PC041.11-X-STRAHL-SIEB</v>
      </c>
    </row>
    <row r="57" spans="1:10" x14ac:dyDescent="0.25">
      <c r="A57" s="6" t="s">
        <v>248</v>
      </c>
      <c r="B57" s="27" t="s">
        <v>1474</v>
      </c>
      <c r="H57" s="50" t="s">
        <v>1510</v>
      </c>
      <c r="I57" s="50" t="s">
        <v>1143</v>
      </c>
      <c r="J57" t="str">
        <f>IFERROR(VLOOKUP(Table35[[#This Row],[R&amp;D Tags]],H:H,1,FALSE), " ")</f>
        <v>2-008-PC041_11-Q</v>
      </c>
    </row>
    <row r="58" spans="1:10" x14ac:dyDescent="0.25">
      <c r="A58" t="s">
        <v>665</v>
      </c>
      <c r="B58" s="27" t="s">
        <v>1475</v>
      </c>
      <c r="H58" s="50" t="s">
        <v>1511</v>
      </c>
      <c r="I58" s="50" t="s">
        <v>1135</v>
      </c>
      <c r="J58" t="str">
        <f>IFERROR(VLOOKUP(Table35[[#This Row],[R&amp;D Tags]],H:H,1,FALSE), " ")</f>
        <v>2-008-PC041_11TS-X</v>
      </c>
    </row>
    <row r="59" spans="1:10" x14ac:dyDescent="0.25">
      <c r="A59" t="s">
        <v>1148</v>
      </c>
      <c r="B59" s="27" t="s">
        <v>1476</v>
      </c>
      <c r="H59" s="50" t="s">
        <v>1512</v>
      </c>
      <c r="I59" s="50" t="s">
        <v>1131</v>
      </c>
      <c r="J59" t="str">
        <f>IFERROR(VLOOKUP(Table35[[#This Row],[R&amp;D Tags]],H:H,1,FALSE), " ")</f>
        <v>2-008-PC041_11-X</v>
      </c>
    </row>
    <row r="60" spans="1:10" x14ac:dyDescent="0.25">
      <c r="A60" t="s">
        <v>1173</v>
      </c>
      <c r="B60" s="27" t="s">
        <v>1477</v>
      </c>
      <c r="H60" s="50" t="s">
        <v>1513</v>
      </c>
      <c r="I60" s="50" t="s">
        <v>1087</v>
      </c>
      <c r="J60" t="str">
        <f>IFERROR(VLOOKUP(Table35[[#This Row],[R&amp;D Tags]],H:H,1,FALSE), " ")</f>
        <v>2-008-PC088-X</v>
      </c>
    </row>
    <row r="61" spans="1:10" x14ac:dyDescent="0.25">
      <c r="A61" t="s">
        <v>1157</v>
      </c>
      <c r="B61" s="27" t="s">
        <v>1478</v>
      </c>
      <c r="H61" s="50" t="s">
        <v>1514</v>
      </c>
      <c r="I61" s="50" t="s">
        <v>1095</v>
      </c>
      <c r="J61" t="str">
        <f>IFERROR(VLOOKUP(Table35[[#This Row],[R&amp;D Tags]],H:H,1,FALSE), " ")</f>
        <v>2-008-PD080_10_1-X</v>
      </c>
    </row>
    <row r="62" spans="1:10" x14ac:dyDescent="0.25">
      <c r="A62" t="s">
        <v>1260</v>
      </c>
      <c r="B62" s="27" t="s">
        <v>1479</v>
      </c>
      <c r="H62" s="50" t="s">
        <v>1515</v>
      </c>
      <c r="I62" s="50" t="s">
        <v>1055</v>
      </c>
      <c r="J62" t="str">
        <f>IFERROR(VLOOKUP(Table35[[#This Row],[R&amp;D Tags]],H:H,1,FALSE), " ")</f>
        <v>2-008-PD083_01-X</v>
      </c>
    </row>
    <row r="63" spans="1:10" x14ac:dyDescent="0.25">
      <c r="A63" t="s">
        <v>1165</v>
      </c>
      <c r="B63" s="27" t="s">
        <v>1351</v>
      </c>
      <c r="H63" s="50" t="s">
        <v>1516</v>
      </c>
      <c r="I63" s="50" t="s">
        <v>1119</v>
      </c>
      <c r="J63" t="str">
        <f>IFERROR(VLOOKUP(Table35[[#This Row],[R&amp;D Tags]],H:H,1,FALSE), " ")</f>
        <v>2-008-PD087_21-X</v>
      </c>
    </row>
    <row r="64" spans="1:10" x14ac:dyDescent="0.25">
      <c r="A64" t="s">
        <v>1193</v>
      </c>
      <c r="B64" s="26" t="s">
        <v>1480</v>
      </c>
      <c r="H64" s="50" t="s">
        <v>1517</v>
      </c>
      <c r="I64" s="50" t="s">
        <v>1181</v>
      </c>
      <c r="J64" t="str">
        <f>IFERROR(VLOOKUP(Table35[[#This Row],[R&amp;D Tags]],H:H,1,FALSE), " ")</f>
        <v>2-008-PI041_05_1-X</v>
      </c>
    </row>
    <row r="65" spans="1:10" x14ac:dyDescent="0.25">
      <c r="A65" t="s">
        <v>1197</v>
      </c>
      <c r="B65" s="27" t="s">
        <v>1481</v>
      </c>
      <c r="H65" s="50" t="s">
        <v>1518</v>
      </c>
      <c r="I65" s="50" t="s">
        <v>1139</v>
      </c>
      <c r="J65" t="str">
        <f>IFERROR(VLOOKUP(Table35[[#This Row],[R&amp;D Tags]],H:H,1,FALSE), " ")</f>
        <v>2-008-PI041_12-X</v>
      </c>
    </row>
    <row r="66" spans="1:10" x14ac:dyDescent="0.25">
      <c r="A66" t="s">
        <v>1216</v>
      </c>
      <c r="B66" s="26" t="s">
        <v>1482</v>
      </c>
      <c r="H66" s="50" t="s">
        <v>1519</v>
      </c>
      <c r="I66" s="50" t="s">
        <v>1169</v>
      </c>
      <c r="J66" t="str">
        <f>IFERROR(VLOOKUP(Table35[[#This Row],[R&amp;D Tags]],H:H,1,FALSE), " ")</f>
        <v>2-008-PI041_25_1-X</v>
      </c>
    </row>
    <row r="67" spans="1:10" x14ac:dyDescent="0.25">
      <c r="A67" t="s">
        <v>172</v>
      </c>
      <c r="B67" s="27" t="s">
        <v>1483</v>
      </c>
      <c r="H67" s="50" t="s">
        <v>1520</v>
      </c>
      <c r="I67" s="50" t="s">
        <v>1075</v>
      </c>
      <c r="J67" t="str">
        <f>IFERROR(VLOOKUP(Table35[[#This Row],[R&amp;D Tags]],H:H,1,FALSE), " ")</f>
        <v>2-008-PI087_01-X</v>
      </c>
    </row>
    <row r="68" spans="1:10" x14ac:dyDescent="0.25">
      <c r="A68" t="s">
        <v>169</v>
      </c>
      <c r="B68" s="27" t="s">
        <v>1484</v>
      </c>
      <c r="H68" s="50" t="s">
        <v>1521</v>
      </c>
      <c r="I68" s="50" t="s">
        <v>1177</v>
      </c>
      <c r="J68" t="str">
        <f>IFERROR(VLOOKUP(Table35[[#This Row],[R&amp;D Tags]],H:H,1,FALSE), " ")</f>
        <v>2-008-TI041_25_1-X</v>
      </c>
    </row>
    <row r="69" spans="1:10" x14ac:dyDescent="0.25">
      <c r="A69" t="s">
        <v>139</v>
      </c>
      <c r="B69" s="27" t="s">
        <v>1485</v>
      </c>
      <c r="H69" s="50" t="s">
        <v>1523</v>
      </c>
      <c r="I69" s="50" t="s">
        <v>1407</v>
      </c>
      <c r="J69" t="str">
        <f>IFERROR(VLOOKUP(Table35[[#This Row],[R&amp;D Tags]],H:H,1,FALSE), " ")</f>
        <v>2-009-FI200_01_1-X</v>
      </c>
    </row>
    <row r="70" spans="1:10" x14ac:dyDescent="0.25">
      <c r="A70" t="s">
        <v>166</v>
      </c>
      <c r="B70" s="27" t="s">
        <v>1486</v>
      </c>
      <c r="H70" s="50" t="s">
        <v>1525</v>
      </c>
      <c r="I70" s="50" t="s">
        <v>721</v>
      </c>
      <c r="J70" t="str">
        <f>IFERROR(VLOOKUP(Table35[[#This Row],[R&amp;D Tags]],H:H,1,FALSE), " ")</f>
        <v>2-009-PC200_01-X</v>
      </c>
    </row>
    <row r="71" spans="1:10" x14ac:dyDescent="0.25">
      <c r="A71" t="s">
        <v>163</v>
      </c>
      <c r="B71" s="27" t="s">
        <v>1487</v>
      </c>
      <c r="H71" s="50" t="s">
        <v>1526</v>
      </c>
      <c r="I71" s="50" t="s">
        <v>705</v>
      </c>
      <c r="J71" t="str">
        <f>IFERROR(VLOOKUP(Table35[[#This Row],[R&amp;D Tags]],H:H,1,FALSE), " ")</f>
        <v>2-009-PD201_04-X</v>
      </c>
    </row>
    <row r="72" spans="1:10" x14ac:dyDescent="0.25">
      <c r="A72" t="s">
        <v>131</v>
      </c>
      <c r="B72" s="27" t="s">
        <v>1488</v>
      </c>
      <c r="H72" s="50" t="s">
        <v>1527</v>
      </c>
      <c r="I72" s="50" t="s">
        <v>717</v>
      </c>
      <c r="J72" t="str">
        <f>IFERROR(VLOOKUP(Table35[[#This Row],[R&amp;D Tags]],H:H,1,FALSE), " ")</f>
        <v>2-009-PD201_05-X</v>
      </c>
    </row>
    <row r="73" spans="1:10" x14ac:dyDescent="0.25">
      <c r="A73" t="s">
        <v>134</v>
      </c>
      <c r="B73" s="27" t="s">
        <v>1489</v>
      </c>
      <c r="H73" s="50" t="s">
        <v>1527</v>
      </c>
      <c r="I73" s="50" t="s">
        <v>729</v>
      </c>
      <c r="J73" t="str">
        <f>IFERROR(VLOOKUP(Table35[[#This Row],[R&amp;D Tags]],H:H,1,FALSE), " ")</f>
        <v>2-009-PD202_01-X</v>
      </c>
    </row>
    <row r="74" spans="1:10" x14ac:dyDescent="0.25">
      <c r="A74" t="s">
        <v>128</v>
      </c>
      <c r="B74" s="27" t="s">
        <v>1490</v>
      </c>
      <c r="H74" s="50" t="s">
        <v>1530</v>
      </c>
      <c r="I74" s="50" t="s">
        <v>914</v>
      </c>
      <c r="J74" t="str">
        <f>IFERROR(VLOOKUP(Table35[[#This Row],[R&amp;D Tags]],H:H,1,FALSE), " ")</f>
        <v>2-028-P305_01-X</v>
      </c>
    </row>
    <row r="75" spans="1:10" x14ac:dyDescent="0.25">
      <c r="A75" t="s">
        <v>143</v>
      </c>
      <c r="B75" s="27" t="s">
        <v>1491</v>
      </c>
      <c r="H75" s="50" t="s">
        <v>1531</v>
      </c>
      <c r="I75" s="50" t="s">
        <v>918</v>
      </c>
      <c r="J75" t="str">
        <f>IFERROR(VLOOKUP(Table35[[#This Row],[R&amp;D Tags]],H:H,1,FALSE), " ")</f>
        <v>2-028-P306_01-X</v>
      </c>
    </row>
    <row r="76" spans="1:10" x14ac:dyDescent="0.25">
      <c r="A76" t="s">
        <v>1079</v>
      </c>
      <c r="B76" s="27" t="s">
        <v>1492</v>
      </c>
      <c r="H76" s="50" t="s">
        <v>1532</v>
      </c>
      <c r="I76" s="50" t="s">
        <v>916</v>
      </c>
      <c r="J76" t="str">
        <f>IFERROR(VLOOKUP(Table35[[#This Row],[R&amp;D Tags]],H:H,1,FALSE), " ")</f>
        <v>2-028-P308_01-X</v>
      </c>
    </row>
    <row r="77" spans="1:10" x14ac:dyDescent="0.25">
      <c r="A77" t="s">
        <v>1091</v>
      </c>
      <c r="B77" s="27" t="s">
        <v>1493</v>
      </c>
      <c r="H77" s="50" t="s">
        <v>1533</v>
      </c>
      <c r="I77" s="50" t="s">
        <v>421</v>
      </c>
      <c r="J77" t="str">
        <f>IFERROR(VLOOKUP(Table35[[#This Row],[R&amp;D Tags]],H:H,1,FALSE), " ")</f>
        <v>2-033-FC100-X</v>
      </c>
    </row>
    <row r="78" spans="1:10" x14ac:dyDescent="0.25">
      <c r="A78" t="s">
        <v>1161</v>
      </c>
      <c r="B78" s="27" t="s">
        <v>1494</v>
      </c>
      <c r="H78" s="50" t="s">
        <v>1534</v>
      </c>
      <c r="I78" s="50" t="s">
        <v>413</v>
      </c>
      <c r="J78" t="str">
        <f>IFERROR(VLOOKUP(Table35[[#This Row],[R&amp;D Tags]],H:H,1,FALSE), " ")</f>
        <v>2-033-FC200-X</v>
      </c>
    </row>
    <row r="79" spans="1:10" x14ac:dyDescent="0.25">
      <c r="A79" t="s">
        <v>157</v>
      </c>
      <c r="B79" s="27" t="s">
        <v>1495</v>
      </c>
      <c r="H79" s="50" t="s">
        <v>1536</v>
      </c>
      <c r="I79" s="50" t="s">
        <v>617</v>
      </c>
      <c r="J79" t="str">
        <f>IFERROR(VLOOKUP(Table35[[#This Row],[R&amp;D Tags]],H:H,1,FALSE), " ")</f>
        <v>2-033-LC200-X</v>
      </c>
    </row>
    <row r="80" spans="1:10" x14ac:dyDescent="0.25">
      <c r="A80" t="s">
        <v>160</v>
      </c>
      <c r="B80" s="27" t="s">
        <v>1496</v>
      </c>
      <c r="H80" s="50" t="s">
        <v>1537</v>
      </c>
      <c r="I80" s="50" t="s">
        <v>445</v>
      </c>
      <c r="J80" t="str">
        <f>IFERROR(VLOOKUP(Table35[[#This Row],[R&amp;D Tags]],H:H,1,FALSE), " ")</f>
        <v>2-033-M045-SEL</v>
      </c>
    </row>
    <row r="81" spans="1:10" x14ac:dyDescent="0.25">
      <c r="A81" t="s">
        <v>1083</v>
      </c>
      <c r="B81" s="27" t="s">
        <v>1497</v>
      </c>
      <c r="H81" s="50" t="s">
        <v>1538</v>
      </c>
      <c r="I81" s="50" t="s">
        <v>473</v>
      </c>
      <c r="J81" t="str">
        <f>IFERROR(VLOOKUP(Table35[[#This Row],[R&amp;D Tags]],H:H,1,FALSE), " ")</f>
        <v>2-033-YP054-X</v>
      </c>
    </row>
    <row r="82" spans="1:10" x14ac:dyDescent="0.25">
      <c r="A82" t="s">
        <v>1099</v>
      </c>
      <c r="B82" s="27" t="s">
        <v>1498</v>
      </c>
      <c r="H82" s="50" t="s">
        <v>1539</v>
      </c>
      <c r="I82" s="50" t="s">
        <v>350</v>
      </c>
      <c r="J82" t="str">
        <f>IFERROR(VLOOKUP(Table35[[#This Row],[R&amp;D Tags]],H:H,1,FALSE), " ")</f>
        <v>2-044-PC404-X</v>
      </c>
    </row>
    <row r="83" spans="1:10" x14ac:dyDescent="0.25">
      <c r="A83" t="s">
        <v>1103</v>
      </c>
      <c r="B83" s="27" t="s">
        <v>1499</v>
      </c>
      <c r="H83" s="50" t="s">
        <v>1540</v>
      </c>
      <c r="I83" s="50" t="s">
        <v>781</v>
      </c>
      <c r="J83" t="str">
        <f>IFERROR(VLOOKUP(Table35[[#This Row],[R&amp;D Tags]],H:H,1,FALSE), " ")</f>
        <v>2-044-TC113-X</v>
      </c>
    </row>
    <row r="84" spans="1:10" x14ac:dyDescent="0.25">
      <c r="A84" t="s">
        <v>1111</v>
      </c>
      <c r="B84" s="27" t="s">
        <v>1500</v>
      </c>
      <c r="H84" s="50" t="s">
        <v>1541</v>
      </c>
      <c r="I84" s="50" t="s">
        <v>793</v>
      </c>
      <c r="J84" t="str">
        <f>IFERROR(VLOOKUP(Table35[[#This Row],[R&amp;D Tags]],H:H,1,FALSE), " ")</f>
        <v>2-044-TC213-X</v>
      </c>
    </row>
    <row r="85" spans="1:10" x14ac:dyDescent="0.25">
      <c r="A85" t="s">
        <v>1107</v>
      </c>
      <c r="B85" s="27" t="s">
        <v>1501</v>
      </c>
      <c r="H85" s="50" t="s">
        <v>1542</v>
      </c>
      <c r="I85" s="50" t="s">
        <v>809</v>
      </c>
      <c r="J85" t="str">
        <f>IFERROR(VLOOKUP(Table35[[#This Row],[R&amp;D Tags]],H:H,1,FALSE), " ")</f>
        <v>2-044-TC313-X</v>
      </c>
    </row>
    <row r="86" spans="1:10" x14ac:dyDescent="0.25">
      <c r="A86" t="s">
        <v>1433</v>
      </c>
      <c r="B86" s="27" t="s">
        <v>1502</v>
      </c>
      <c r="H86" s="50" t="s">
        <v>1543</v>
      </c>
      <c r="I86" s="50" t="s">
        <v>449</v>
      </c>
      <c r="J86" t="str">
        <f>IFERROR(VLOOKUP(Table35[[#This Row],[R&amp;D Tags]],H:H,1,FALSE), " ")</f>
        <v>2-044-TC714-X</v>
      </c>
    </row>
    <row r="87" spans="1:10" x14ac:dyDescent="0.25">
      <c r="A87" t="s">
        <v>1437</v>
      </c>
      <c r="B87" s="27" t="s">
        <v>1503</v>
      </c>
      <c r="H87" s="50" t="s">
        <v>1544</v>
      </c>
      <c r="I87" s="50" t="s">
        <v>801</v>
      </c>
      <c r="J87" t="str">
        <f>IFERROR(VLOOKUP(Table35[[#This Row],[R&amp;D Tags]],H:H,1,FALSE), " ")</f>
        <v>2-044-TI504_NL</v>
      </c>
    </row>
    <row r="88" spans="1:10" x14ac:dyDescent="0.25">
      <c r="A88" t="s">
        <v>1441</v>
      </c>
      <c r="B88" s="27" t="s">
        <v>1504</v>
      </c>
      <c r="H88" s="50" t="s">
        <v>1545</v>
      </c>
      <c r="I88" s="50" t="s">
        <v>103</v>
      </c>
      <c r="J88" t="str">
        <f>IFERROR(VLOOKUP(Table35[[#This Row],[R&amp;D Tags]],H:H,1,FALSE), " ")</f>
        <v>2-060-NI001-X</v>
      </c>
    </row>
    <row r="89" spans="1:10" x14ac:dyDescent="0.25">
      <c r="A89" t="s">
        <v>137</v>
      </c>
      <c r="B89" s="27" t="s">
        <v>1271</v>
      </c>
      <c r="H89" s="50" t="s">
        <v>1546</v>
      </c>
      <c r="I89" s="50" t="s">
        <v>107</v>
      </c>
      <c r="J89" t="str">
        <f>IFERROR(VLOOKUP(Table35[[#This Row],[R&amp;D Tags]],H:H,1,FALSE), " ")</f>
        <v>2-060-NI002-X</v>
      </c>
    </row>
    <row r="90" spans="1:10" x14ac:dyDescent="0.25">
      <c r="A90" t="s">
        <v>1256</v>
      </c>
      <c r="B90" s="27" t="s">
        <v>1279</v>
      </c>
      <c r="H90" s="50" t="s">
        <v>1547</v>
      </c>
      <c r="I90" s="50" t="s">
        <v>98</v>
      </c>
      <c r="J90" t="str">
        <f>IFERROR(VLOOKUP(Table35[[#This Row],[R&amp;D Tags]],H:H,1,FALSE), " ")</f>
        <v>2-060-YP048-X</v>
      </c>
    </row>
    <row r="91" spans="1:10" x14ac:dyDescent="0.25">
      <c r="A91" t="s">
        <v>1127</v>
      </c>
      <c r="B91" s="27" t="s">
        <v>1505</v>
      </c>
      <c r="H91" s="50" t="s">
        <v>1548</v>
      </c>
      <c r="I91" s="50" t="s">
        <v>120</v>
      </c>
      <c r="J91" t="str">
        <f>IFERROR(VLOOKUP(Table35[[#This Row],[R&amp;D Tags]],H:H,1,FALSE), " ")</f>
        <v>2-060-YP052_01-X</v>
      </c>
    </row>
    <row r="92" spans="1:10" x14ac:dyDescent="0.25">
      <c r="A92" t="s">
        <v>1123</v>
      </c>
      <c r="B92" s="27" t="s">
        <v>1506</v>
      </c>
      <c r="H92" s="50" t="s">
        <v>1548</v>
      </c>
      <c r="I92" s="50" t="s">
        <v>124</v>
      </c>
      <c r="J92" t="str">
        <f>IFERROR(VLOOKUP(Table35[[#This Row],[R&amp;D Tags]],H:H,1,FALSE), " ")</f>
        <v>2-060-YP052_02-X</v>
      </c>
    </row>
    <row r="93" spans="1:10" x14ac:dyDescent="0.25">
      <c r="A93" t="s">
        <v>34</v>
      </c>
      <c r="B93" s="27" t="s">
        <v>1507</v>
      </c>
      <c r="H93" s="50" t="s">
        <v>1549</v>
      </c>
      <c r="I93" s="50" t="s">
        <v>499</v>
      </c>
      <c r="J93" t="str">
        <f>IFERROR(VLOOKUP(Table35[[#This Row],[R&amp;D Tags]],H:H,1,FALSE), " ")</f>
        <v>2-076-FC011_01-X</v>
      </c>
    </row>
    <row r="94" spans="1:10" x14ac:dyDescent="0.25">
      <c r="A94" t="s">
        <v>1189</v>
      </c>
      <c r="B94" s="27" t="s">
        <v>1508</v>
      </c>
      <c r="H94" s="50" t="s">
        <v>1550</v>
      </c>
      <c r="I94" s="50" t="s">
        <v>503</v>
      </c>
      <c r="J94" t="str">
        <f>IFERROR(VLOOKUP(Table35[[#This Row],[R&amp;D Tags]],H:H,1,FALSE), " ")</f>
        <v>2-076-FC011_02-X</v>
      </c>
    </row>
    <row r="95" spans="1:10" x14ac:dyDescent="0.25">
      <c r="A95" t="s">
        <v>1153</v>
      </c>
      <c r="B95" s="27" t="s">
        <v>1509</v>
      </c>
      <c r="H95" s="50" t="s">
        <v>1551</v>
      </c>
      <c r="I95" s="50" t="s">
        <v>486</v>
      </c>
      <c r="J95" t="str">
        <f>IFERROR(VLOOKUP(Table35[[#This Row],[R&amp;D Tags]],H:H,1,FALSE), " ")</f>
        <v>2-076-FC015_01-X</v>
      </c>
    </row>
    <row r="96" spans="1:10" x14ac:dyDescent="0.25">
      <c r="A96" t="s">
        <v>1143</v>
      </c>
      <c r="B96" s="27" t="s">
        <v>1510</v>
      </c>
      <c r="H96" s="50" t="s">
        <v>1552</v>
      </c>
      <c r="I96" s="50" t="s">
        <v>519</v>
      </c>
      <c r="J96" t="str">
        <f>IFERROR(VLOOKUP(Table35[[#This Row],[R&amp;D Tags]],H:H,1,FALSE), " ")</f>
        <v>2-076-FC021_01-X</v>
      </c>
    </row>
    <row r="97" spans="1:10" x14ac:dyDescent="0.25">
      <c r="A97" t="s">
        <v>1135</v>
      </c>
      <c r="B97" s="27" t="s">
        <v>1511</v>
      </c>
      <c r="H97" s="50" t="s">
        <v>1554</v>
      </c>
      <c r="I97" s="50" t="s">
        <v>523</v>
      </c>
      <c r="J97" t="str">
        <f>IFERROR(VLOOKUP(Table35[[#This Row],[R&amp;D Tags]],H:H,1,FALSE), " ")</f>
        <v>2-076-FC021_02-X</v>
      </c>
    </row>
    <row r="98" spans="1:10" x14ac:dyDescent="0.25">
      <c r="A98" t="s">
        <v>1131</v>
      </c>
      <c r="B98" s="27" t="s">
        <v>1512</v>
      </c>
      <c r="H98" s="50" t="s">
        <v>1555</v>
      </c>
      <c r="I98" s="50" t="s">
        <v>507</v>
      </c>
      <c r="J98" t="str">
        <f>IFERROR(VLOOKUP(Table35[[#This Row],[R&amp;D Tags]],H:H,1,FALSE), " ")</f>
        <v>2-076-FC025_01-X</v>
      </c>
    </row>
    <row r="99" spans="1:10" x14ac:dyDescent="0.25">
      <c r="A99" t="s">
        <v>1087</v>
      </c>
      <c r="B99" s="27" t="s">
        <v>1513</v>
      </c>
      <c r="H99" s="50" t="s">
        <v>1556</v>
      </c>
      <c r="I99" s="50" t="s">
        <v>490</v>
      </c>
      <c r="J99" t="str">
        <f>IFERROR(VLOOKUP(Table35[[#This Row],[R&amp;D Tags]],H:H,1,FALSE), " ")</f>
        <v>2-076-LC011_01-Y</v>
      </c>
    </row>
    <row r="100" spans="1:10" x14ac:dyDescent="0.25">
      <c r="A100" t="s">
        <v>1095</v>
      </c>
      <c r="B100" s="27" t="s">
        <v>1514</v>
      </c>
      <c r="H100" s="50" t="s">
        <v>1557</v>
      </c>
      <c r="I100" s="50" t="s">
        <v>515</v>
      </c>
      <c r="J100" t="str">
        <f>IFERROR(VLOOKUP(Table35[[#This Row],[R&amp;D Tags]],H:H,1,FALSE), " ")</f>
        <v>2-076-LC021_01-X</v>
      </c>
    </row>
    <row r="101" spans="1:10" x14ac:dyDescent="0.25">
      <c r="A101" t="s">
        <v>1055</v>
      </c>
      <c r="B101" s="27" t="s">
        <v>1515</v>
      </c>
      <c r="H101" s="50" t="s">
        <v>1558</v>
      </c>
      <c r="I101" s="50" t="s">
        <v>873</v>
      </c>
      <c r="J101" t="str">
        <f>IFERROR(VLOOKUP(Table35[[#This Row],[R&amp;D Tags]],H:H,1,FALSE), " ")</f>
        <v>2-199-PI002-X</v>
      </c>
    </row>
    <row r="102" spans="1:10" x14ac:dyDescent="0.25">
      <c r="A102" t="s">
        <v>1063</v>
      </c>
      <c r="B102" s="27" t="s">
        <v>1355</v>
      </c>
      <c r="H102" s="50" t="s">
        <v>1559</v>
      </c>
      <c r="I102" s="50" t="s">
        <v>849</v>
      </c>
      <c r="J102" t="str">
        <f>IFERROR(VLOOKUP(Table35[[#This Row],[R&amp;D Tags]],H:H,1,FALSE), " ")</f>
        <v>2-199-PI066-X</v>
      </c>
    </row>
    <row r="103" spans="1:10" x14ac:dyDescent="0.25">
      <c r="A103" t="s">
        <v>1071</v>
      </c>
      <c r="B103" s="27" t="s">
        <v>1363</v>
      </c>
      <c r="H103" s="50" t="s">
        <v>1560</v>
      </c>
      <c r="I103" s="50" t="s">
        <v>861</v>
      </c>
      <c r="J103" t="str">
        <f>IFERROR(VLOOKUP(Table35[[#This Row],[R&amp;D Tags]],H:H,1,FALSE), " ")</f>
        <v>2-199-PI073-X</v>
      </c>
    </row>
    <row r="104" spans="1:10" x14ac:dyDescent="0.25">
      <c r="A104" t="s">
        <v>1119</v>
      </c>
      <c r="B104" s="27" t="s">
        <v>1516</v>
      </c>
      <c r="H104" s="50" t="s">
        <v>1561</v>
      </c>
      <c r="I104" s="50" t="s">
        <v>909</v>
      </c>
      <c r="J104" t="str">
        <f>IFERROR(VLOOKUP(Table35[[#This Row],[R&amp;D Tags]],H:H,1,FALSE), " ")</f>
        <v>2-203-PI084-X</v>
      </c>
    </row>
    <row r="105" spans="1:10" x14ac:dyDescent="0.25">
      <c r="A105" t="s">
        <v>1181</v>
      </c>
      <c r="B105" s="27" t="s">
        <v>1517</v>
      </c>
      <c r="H105" s="50" t="s">
        <v>1562</v>
      </c>
      <c r="I105" s="50" t="s">
        <v>885</v>
      </c>
      <c r="J105" t="str">
        <f>IFERROR(VLOOKUP(Table35[[#This Row],[R&amp;D Tags]],H:H,1,FALSE), " ")</f>
        <v>2-238-UZ001-D4</v>
      </c>
    </row>
    <row r="106" spans="1:10" x14ac:dyDescent="0.25">
      <c r="A106" t="s">
        <v>1139</v>
      </c>
      <c r="B106" s="27" t="s">
        <v>1518</v>
      </c>
      <c r="H106" s="50" t="s">
        <v>1563</v>
      </c>
      <c r="I106" s="50" t="s">
        <v>673</v>
      </c>
      <c r="J106" t="str">
        <f>IFERROR(VLOOKUP(Table35[[#This Row],[R&amp;D Tags]],H:H,1,FALSE), " ")</f>
        <v>2-304-UZ001-D9</v>
      </c>
    </row>
    <row r="107" spans="1:10" x14ac:dyDescent="0.25">
      <c r="A107" t="s">
        <v>1169</v>
      </c>
      <c r="B107" s="27" t="s">
        <v>1519</v>
      </c>
      <c r="H107" s="50" t="s">
        <v>1564</v>
      </c>
      <c r="I107" s="50" t="s">
        <v>825</v>
      </c>
      <c r="J107" t="str">
        <f>IFERROR(VLOOKUP(Table35[[#This Row],[R&amp;D Tags]],H:H,1,FALSE), " ")</f>
        <v>2-504-NI010-X</v>
      </c>
    </row>
    <row r="108" spans="1:10" x14ac:dyDescent="0.25">
      <c r="A108" t="s">
        <v>1075</v>
      </c>
      <c r="B108" s="27" t="s">
        <v>1520</v>
      </c>
      <c r="H108" s="50" t="s">
        <v>1565</v>
      </c>
      <c r="I108" s="50" t="s">
        <v>837</v>
      </c>
      <c r="J108" t="str">
        <f>IFERROR(VLOOKUP(Table35[[#This Row],[R&amp;D Tags]],H:H,1,FALSE), " ")</f>
        <v>2-504-NI011-X</v>
      </c>
    </row>
    <row r="109" spans="1:10" x14ac:dyDescent="0.25">
      <c r="A109" t="s">
        <v>1059</v>
      </c>
      <c r="B109" s="27" t="s">
        <v>765</v>
      </c>
      <c r="H109" s="50" t="s">
        <v>1566</v>
      </c>
      <c r="I109" s="50" t="s">
        <v>1224</v>
      </c>
      <c r="J109" t="str">
        <f>IFERROR(VLOOKUP(Table35[[#This Row],[R&amp;D Tags]],H:H,1,FALSE), " ")</f>
        <v>3-000-FC064_01-X</v>
      </c>
    </row>
    <row r="110" spans="1:10" x14ac:dyDescent="0.25">
      <c r="A110" t="s">
        <v>1067</v>
      </c>
      <c r="B110" s="27" t="s">
        <v>761</v>
      </c>
      <c r="H110" s="50" t="s">
        <v>1567</v>
      </c>
      <c r="I110" s="50" t="s">
        <v>256</v>
      </c>
      <c r="J110" t="str">
        <f>IFERROR(VLOOKUP(Table35[[#This Row],[R&amp;D Tags]],H:H,1,FALSE), " ")</f>
        <v>GMC_A1_G1LDA10CF701_WF</v>
      </c>
    </row>
    <row r="111" spans="1:10" x14ac:dyDescent="0.25">
      <c r="A111" t="s">
        <v>1115</v>
      </c>
      <c r="B111" s="31" t="s">
        <v>197</v>
      </c>
      <c r="H111" s="50" t="s">
        <v>1568</v>
      </c>
      <c r="I111" s="50" t="s">
        <v>897</v>
      </c>
      <c r="J111" t="str">
        <f>IFERROR(VLOOKUP(Table35[[#This Row],[R&amp;D Tags]],H:H,1,FALSE), " ")</f>
        <v>PM1_2-103-PI091-X</v>
      </c>
    </row>
    <row r="112" spans="1:10" x14ac:dyDescent="0.25">
      <c r="A112" t="s">
        <v>657</v>
      </c>
      <c r="B112" s="37" t="s">
        <v>200</v>
      </c>
      <c r="H112" s="50" t="s">
        <v>1569</v>
      </c>
      <c r="I112" s="50" t="s">
        <v>901</v>
      </c>
      <c r="J112" t="str">
        <f>IFERROR(VLOOKUP(Table35[[#This Row],[R&amp;D Tags]],H:H,1,FALSE), " ")</f>
        <v>PM1_2-103-PI092-X</v>
      </c>
    </row>
    <row r="113" spans="1:10" x14ac:dyDescent="0.25">
      <c r="A113" t="s">
        <v>194</v>
      </c>
      <c r="B113" s="31" t="s">
        <v>206</v>
      </c>
      <c r="H113" s="50" t="s">
        <v>1570</v>
      </c>
      <c r="I113" s="50" t="s">
        <v>38</v>
      </c>
      <c r="J113" t="str">
        <f>IFERROR(VLOOKUP(Table35[[#This Row],[R&amp;D Tags]],H:H,1,FALSE), " ")</f>
        <v>PM1_ABRISS-ERKENNUNG</v>
      </c>
    </row>
    <row r="114" spans="1:10" x14ac:dyDescent="0.25">
      <c r="A114" t="s">
        <v>188</v>
      </c>
      <c r="B114" s="37" t="s">
        <v>203</v>
      </c>
      <c r="H114" s="50" t="s">
        <v>1578</v>
      </c>
      <c r="I114" s="50" t="s">
        <v>336</v>
      </c>
      <c r="J114" t="str">
        <f>IFERROR(VLOOKUP(Table35[[#This Row],[R&amp;D Tags]],H:H,1,FALSE), " ")</f>
        <v>QMS11_2-044-MC433-X</v>
      </c>
    </row>
    <row r="115" spans="1:10" x14ac:dyDescent="0.25">
      <c r="A115" t="s">
        <v>191</v>
      </c>
      <c r="B115" s="32" t="s">
        <v>215</v>
      </c>
      <c r="H115" s="50" t="s">
        <v>1579</v>
      </c>
      <c r="I115" s="50" t="s">
        <v>797</v>
      </c>
      <c r="J115" t="str">
        <f>IFERROR(VLOOKUP(Table35[[#This Row],[R&amp;D Tags]],H:H,1,FALSE), " ")</f>
        <v>QMS11_2-044-V211-N_FU</v>
      </c>
    </row>
    <row r="116" spans="1:10" x14ac:dyDescent="0.25">
      <c r="A116" t="s">
        <v>1033</v>
      </c>
      <c r="B116" s="27" t="s">
        <v>212</v>
      </c>
      <c r="H116" s="50" t="s">
        <v>1579</v>
      </c>
      <c r="I116" s="50" t="s">
        <v>813</v>
      </c>
      <c r="J116" t="str">
        <f>IFERROR(VLOOKUP(Table35[[#This Row],[R&amp;D Tags]],H:H,1,FALSE), " ")</f>
        <v>QMS11_2-044-V311-N_FU</v>
      </c>
    </row>
    <row r="117" spans="1:10" x14ac:dyDescent="0.25">
      <c r="A117" t="s">
        <v>1244</v>
      </c>
      <c r="B117" s="27" t="s">
        <v>209</v>
      </c>
      <c r="H117" s="50" t="s">
        <v>1580</v>
      </c>
      <c r="I117" s="50" t="s">
        <v>355</v>
      </c>
      <c r="J117" t="str">
        <f>IFERROR(VLOOKUP(Table35[[#This Row],[R&amp;D Tags]],H:H,1,FALSE), " ")</f>
        <v>QMS11_2-044-V511-N_FU</v>
      </c>
    </row>
    <row r="118" spans="1:10" x14ac:dyDescent="0.25">
      <c r="A118" t="s">
        <v>1233</v>
      </c>
      <c r="B118" s="31" t="s">
        <v>236</v>
      </c>
      <c r="H118" s="50" t="s">
        <v>1581</v>
      </c>
      <c r="I118" s="50" t="s">
        <v>1046</v>
      </c>
      <c r="J118" t="str">
        <f>IFERROR(VLOOKUP(Table35[[#This Row],[R&amp;D Tags]],H:H,1,FALSE), " ")</f>
        <v>QMS11_2-138-NC071-X</v>
      </c>
    </row>
    <row r="119" spans="1:10" x14ac:dyDescent="0.25">
      <c r="A119" s="5" t="s">
        <v>1237</v>
      </c>
      <c r="B119" s="27" t="s">
        <v>240</v>
      </c>
      <c r="H119" s="50" t="s">
        <v>1582</v>
      </c>
      <c r="I119" s="50" t="s">
        <v>976</v>
      </c>
      <c r="J119" t="str">
        <f>IFERROR(VLOOKUP(Table35[[#This Row],[R&amp;D Tags]],H:H,1,FALSE), " ")</f>
        <v>QMS11_2-238-NC071-X</v>
      </c>
    </row>
    <row r="120" spans="1:10" x14ac:dyDescent="0.25">
      <c r="A120" t="s">
        <v>1248</v>
      </c>
      <c r="B120" s="27" t="s">
        <v>233</v>
      </c>
      <c r="H120" s="50" t="s">
        <v>1583</v>
      </c>
      <c r="I120" s="50" t="s">
        <v>64</v>
      </c>
      <c r="J120" t="str">
        <f>IFERROR(VLOOKUP(Table35[[#This Row],[R&amp;D Tags]],H:H,1,FALSE), " ")</f>
        <v>QMS11_SCN1QM1-X</v>
      </c>
    </row>
    <row r="121" spans="1:10" x14ac:dyDescent="0.25">
      <c r="A121" t="s">
        <v>1252</v>
      </c>
      <c r="B121" s="27" t="s">
        <v>230</v>
      </c>
      <c r="H121" s="50" t="s">
        <v>1295</v>
      </c>
      <c r="I121" s="50" t="s">
        <v>1307</v>
      </c>
      <c r="J121" t="str">
        <f>IFERROR(VLOOKUP(Table35[[#This Row],[R&amp;D Tags]],H:H,1,FALSE), " ")</f>
        <v>1-000-A001_37-X</v>
      </c>
    </row>
    <row r="122" spans="1:10" x14ac:dyDescent="0.25">
      <c r="A122" t="s">
        <v>1229</v>
      </c>
      <c r="B122" s="27" t="s">
        <v>218</v>
      </c>
      <c r="H122" s="50" t="s">
        <v>1319</v>
      </c>
      <c r="I122" s="50" t="s">
        <v>1287</v>
      </c>
      <c r="J122" t="str">
        <f>IFERROR(VLOOKUP(Table35[[#This Row],[R&amp;D Tags]],H:H,1,FALSE), " ")</f>
        <v>1-000-EI004_1-X</v>
      </c>
    </row>
    <row r="123" spans="1:10" x14ac:dyDescent="0.25">
      <c r="A123" t="s">
        <v>1213</v>
      </c>
      <c r="B123" s="27" t="s">
        <v>227</v>
      </c>
      <c r="H123" s="50" t="s">
        <v>1331</v>
      </c>
      <c r="I123" s="50" t="s">
        <v>1291</v>
      </c>
      <c r="J123" t="str">
        <f>IFERROR(VLOOKUP(Table35[[#This Row],[R&amp;D Tags]],H:H,1,FALSE), " ")</f>
        <v>1-000-EI004_2-X</v>
      </c>
    </row>
    <row r="124" spans="1:10" x14ac:dyDescent="0.25">
      <c r="A124" t="s">
        <v>1220</v>
      </c>
      <c r="B124" s="27" t="s">
        <v>224</v>
      </c>
      <c r="H124" s="50" t="s">
        <v>1343</v>
      </c>
      <c r="I124" s="50" t="s">
        <v>1359</v>
      </c>
      <c r="J124" t="str">
        <f>IFERROR(VLOOKUP(Table35[[#This Row],[R&amp;D Tags]],H:H,1,FALSE), " ")</f>
        <v>1-000-EI005_10-X</v>
      </c>
    </row>
    <row r="125" spans="1:10" x14ac:dyDescent="0.25">
      <c r="A125" t="s">
        <v>1042</v>
      </c>
      <c r="B125" s="27" t="s">
        <v>221</v>
      </c>
      <c r="H125" s="50" t="s">
        <v>1201</v>
      </c>
      <c r="I125" s="50" t="s">
        <v>1275</v>
      </c>
      <c r="J125" t="str">
        <f>IFERROR(VLOOKUP(Table35[[#This Row],[R&amp;D Tags]],H:H,1,FALSE), " ")</f>
        <v>1-000-FC002_1-X</v>
      </c>
    </row>
    <row r="126" spans="1:10" x14ac:dyDescent="0.25">
      <c r="A126" t="s">
        <v>1051</v>
      </c>
      <c r="B126" s="31" t="s">
        <v>244</v>
      </c>
      <c r="H126" s="50" t="s">
        <v>1201</v>
      </c>
      <c r="I126" s="50" t="s">
        <v>1283</v>
      </c>
      <c r="J126" t="str">
        <f>IFERROR(VLOOKUP(Table35[[#This Row],[R&amp;D Tags]],H:H,1,FALSE), " ")</f>
        <v>1-000-FC003_1-X</v>
      </c>
    </row>
    <row r="127" spans="1:10" x14ac:dyDescent="0.25">
      <c r="A127" t="s">
        <v>1185</v>
      </c>
      <c r="B127" s="31" t="s">
        <v>248</v>
      </c>
      <c r="H127" s="50" t="s">
        <v>1205</v>
      </c>
      <c r="I127" s="50" t="s">
        <v>1375</v>
      </c>
      <c r="J127" t="str">
        <f>IFERROR(VLOOKUP(Table35[[#This Row],[R&amp;D Tags]],H:H,1,FALSE), " ")</f>
        <v>1-000-FC005_10-X</v>
      </c>
    </row>
    <row r="128" spans="1:10" x14ac:dyDescent="0.25">
      <c r="A128" t="s">
        <v>1177</v>
      </c>
      <c r="B128" s="27" t="s">
        <v>1521</v>
      </c>
      <c r="H128" s="50" t="s">
        <v>1267</v>
      </c>
      <c r="I128" s="50" t="s">
        <v>1387</v>
      </c>
      <c r="J128" t="str">
        <f>IFERROR(VLOOKUP(Table35[[#This Row],[R&amp;D Tags]],H:H,1,FALSE), " ")</f>
        <v>1-000-FC005_14-X</v>
      </c>
    </row>
    <row r="129" spans="1:10" x14ac:dyDescent="0.25">
      <c r="A129" t="s">
        <v>175</v>
      </c>
      <c r="B129" s="27" t="s">
        <v>1522</v>
      </c>
      <c r="H129" s="50" t="s">
        <v>1287</v>
      </c>
      <c r="I129" s="50" t="s">
        <v>1323</v>
      </c>
      <c r="J129" t="str">
        <f>IFERROR(VLOOKUP(Table35[[#This Row],[R&amp;D Tags]],H:H,1,FALSE), " ")</f>
        <v>1-000-FC005_2-X</v>
      </c>
    </row>
    <row r="130" spans="1:10" x14ac:dyDescent="0.25">
      <c r="A130" t="s">
        <v>42</v>
      </c>
      <c r="B130" s="27" t="s">
        <v>665</v>
      </c>
      <c r="H130" s="50" t="s">
        <v>1291</v>
      </c>
      <c r="I130" s="50" t="s">
        <v>1315</v>
      </c>
      <c r="J130" t="str">
        <f>IFERROR(VLOOKUP(Table35[[#This Row],[R&amp;D Tags]],H:H,1,FALSE), " ")</f>
        <v>1-000-FC005_3-X</v>
      </c>
    </row>
    <row r="131" spans="1:10" x14ac:dyDescent="0.25">
      <c r="A131" t="s">
        <v>1407</v>
      </c>
      <c r="B131" s="27" t="s">
        <v>1523</v>
      </c>
      <c r="H131" s="50" t="s">
        <v>1359</v>
      </c>
      <c r="I131" s="50" t="s">
        <v>1311</v>
      </c>
      <c r="J131" t="str">
        <f>IFERROR(VLOOKUP(Table35[[#This Row],[R&amp;D Tags]],H:H,1,FALSE), " ")</f>
        <v>1-000-FC005_4-X</v>
      </c>
    </row>
    <row r="132" spans="1:10" x14ac:dyDescent="0.25">
      <c r="A132" t="s">
        <v>1429</v>
      </c>
      <c r="B132" s="27" t="s">
        <v>1148</v>
      </c>
      <c r="H132" s="50" t="s">
        <v>1275</v>
      </c>
      <c r="I132" s="50" t="s">
        <v>1339</v>
      </c>
      <c r="J132" t="str">
        <f>IFERROR(VLOOKUP(Table35[[#This Row],[R&amp;D Tags]],H:H,1,FALSE), " ")</f>
        <v>1-000-FC005_8_2-X</v>
      </c>
    </row>
    <row r="133" spans="1:10" x14ac:dyDescent="0.25">
      <c r="A133" t="s">
        <v>1419</v>
      </c>
      <c r="B133" s="27" t="s">
        <v>1524</v>
      </c>
      <c r="H133" s="50" t="s">
        <v>1283</v>
      </c>
      <c r="I133" s="50" t="s">
        <v>1371</v>
      </c>
      <c r="J133" t="str">
        <f>IFERROR(VLOOKUP(Table35[[#This Row],[R&amp;D Tags]],H:H,1,FALSE), " ")</f>
        <v>1-000-FC005_9_2-X</v>
      </c>
    </row>
    <row r="134" spans="1:10" x14ac:dyDescent="0.25">
      <c r="A134" t="s">
        <v>725</v>
      </c>
      <c r="B134" s="27" t="s">
        <v>1173</v>
      </c>
      <c r="H134" s="50" t="s">
        <v>1375</v>
      </c>
      <c r="I134" s="50" t="s">
        <v>177</v>
      </c>
      <c r="J134" t="str">
        <f>IFERROR(VLOOKUP(Table35[[#This Row],[R&amp;D Tags]],H:H,1,FALSE), " ")</f>
        <v>1-000-FC028_01-X</v>
      </c>
    </row>
    <row r="135" spans="1:10" x14ac:dyDescent="0.25">
      <c r="A135" t="s">
        <v>721</v>
      </c>
      <c r="B135" s="27" t="s">
        <v>1525</v>
      </c>
      <c r="H135" s="50" t="s">
        <v>1387</v>
      </c>
      <c r="I135" s="50" t="s">
        <v>184</v>
      </c>
      <c r="J135" t="str">
        <f>IFERROR(VLOOKUP(Table35[[#This Row],[R&amp;D Tags]],H:H,1,FALSE), " ")</f>
        <v>1-000-FC028_03-X</v>
      </c>
    </row>
    <row r="136" spans="1:10" x14ac:dyDescent="0.25">
      <c r="A136" t="s">
        <v>733</v>
      </c>
      <c r="B136" s="27" t="s">
        <v>1157</v>
      </c>
      <c r="H136" s="50" t="s">
        <v>1327</v>
      </c>
      <c r="I136" s="50" t="s">
        <v>1279</v>
      </c>
      <c r="J136" t="str">
        <f>IFERROR(VLOOKUP(Table35[[#This Row],[R&amp;D Tags]],H:H,1,FALSE), " ")</f>
        <v>1-000-PI003_11DP-X</v>
      </c>
    </row>
    <row r="137" spans="1:10" x14ac:dyDescent="0.25">
      <c r="A137" t="s">
        <v>745</v>
      </c>
      <c r="B137" s="27" t="s">
        <v>1260</v>
      </c>
      <c r="H137" s="50" t="s">
        <v>1323</v>
      </c>
      <c r="I137" s="50" t="s">
        <v>1355</v>
      </c>
      <c r="J137" t="str">
        <f>IFERROR(VLOOKUP(Table35[[#This Row],[R&amp;D Tags]],H:H,1,FALSE), " ")</f>
        <v>1-000-QI005_10-X</v>
      </c>
    </row>
    <row r="138" spans="1:10" x14ac:dyDescent="0.25">
      <c r="A138" t="s">
        <v>749</v>
      </c>
      <c r="B138" s="27" t="s">
        <v>1165</v>
      </c>
      <c r="H138" s="50" t="s">
        <v>1315</v>
      </c>
      <c r="I138" s="50" t="s">
        <v>1363</v>
      </c>
      <c r="J138" t="str">
        <f>IFERROR(VLOOKUP(Table35[[#This Row],[R&amp;D Tags]],H:H,1,FALSE), " ")</f>
        <v>1-000-QI005_11-X</v>
      </c>
    </row>
    <row r="139" spans="1:10" x14ac:dyDescent="0.25">
      <c r="A139" t="s">
        <v>310</v>
      </c>
      <c r="B139" s="27" t="s">
        <v>1193</v>
      </c>
      <c r="H139" s="50" t="s">
        <v>1311</v>
      </c>
      <c r="I139" s="50" t="s">
        <v>765</v>
      </c>
      <c r="J139" t="str">
        <f>IFERROR(VLOOKUP(Table35[[#This Row],[R&amp;D Tags]],H:H,1,FALSE), " ")</f>
        <v>1-000-TC025_01-X</v>
      </c>
    </row>
    <row r="140" spans="1:10" x14ac:dyDescent="0.25">
      <c r="A140" t="s">
        <v>322</v>
      </c>
      <c r="B140" s="27" t="s">
        <v>1193</v>
      </c>
      <c r="H140" s="50" t="s">
        <v>1335</v>
      </c>
      <c r="I140" s="50" t="s">
        <v>761</v>
      </c>
      <c r="J140" t="str">
        <f>IFERROR(VLOOKUP(Table35[[#This Row],[R&amp;D Tags]],H:H,1,FALSE), " ")</f>
        <v>1-000-TC025_02-X</v>
      </c>
    </row>
    <row r="141" spans="1:10" x14ac:dyDescent="0.25">
      <c r="A141" t="s">
        <v>685</v>
      </c>
      <c r="B141" s="27" t="s">
        <v>1197</v>
      </c>
      <c r="H141" s="50" t="s">
        <v>1339</v>
      </c>
      <c r="I141" s="50" t="s">
        <v>197</v>
      </c>
      <c r="J141" t="str">
        <f>IFERROR(VLOOKUP(Table35[[#This Row],[R&amp;D Tags]],H:H,1,FALSE), " ")</f>
        <v>2-000-2A1J13-P</v>
      </c>
    </row>
    <row r="142" spans="1:10" x14ac:dyDescent="0.25">
      <c r="A142" t="s">
        <v>689</v>
      </c>
      <c r="B142" s="27" t="s">
        <v>1197</v>
      </c>
      <c r="H142" s="50" t="s">
        <v>1371</v>
      </c>
      <c r="I142" s="50" t="s">
        <v>200</v>
      </c>
      <c r="J142" t="str">
        <f>IFERROR(VLOOKUP(Table35[[#This Row],[R&amp;D Tags]],H:H,1,FALSE), " ")</f>
        <v>2-000-2A1J15-P</v>
      </c>
    </row>
    <row r="143" spans="1:10" x14ac:dyDescent="0.25">
      <c r="A143" t="s">
        <v>701</v>
      </c>
      <c r="B143" s="26" t="s">
        <v>1197</v>
      </c>
      <c r="H143" s="50" t="s">
        <v>177</v>
      </c>
      <c r="I143" s="50" t="s">
        <v>212</v>
      </c>
      <c r="J143" t="str">
        <f>IFERROR(VLOOKUP(Table35[[#This Row],[R&amp;D Tags]],H:H,1,FALSE), " ")</f>
        <v>2-000-2A1J19-P</v>
      </c>
    </row>
    <row r="144" spans="1:10" x14ac:dyDescent="0.25">
      <c r="A144" t="s">
        <v>713</v>
      </c>
      <c r="B144" s="27" t="s">
        <v>1216</v>
      </c>
      <c r="H144" s="50" t="s">
        <v>180</v>
      </c>
      <c r="I144" s="50" t="s">
        <v>209</v>
      </c>
      <c r="J144" t="str">
        <f>IFERROR(VLOOKUP(Table35[[#This Row],[R&amp;D Tags]],H:H,1,FALSE), " ")</f>
        <v>2-000-2A1J20-P</v>
      </c>
    </row>
    <row r="145" spans="1:10" ht="15.75" x14ac:dyDescent="0.25">
      <c r="A145" t="s">
        <v>709</v>
      </c>
      <c r="B145" s="28" t="s">
        <v>172</v>
      </c>
      <c r="H145" s="50" t="s">
        <v>184</v>
      </c>
      <c r="I145" s="50" t="s">
        <v>236</v>
      </c>
      <c r="J145" t="str">
        <f>IFERROR(VLOOKUP(Table35[[#This Row],[R&amp;D Tags]],H:H,1,FALSE), " ")</f>
        <v>2-000-2A1J21-P</v>
      </c>
    </row>
    <row r="146" spans="1:10" ht="15.75" x14ac:dyDescent="0.25">
      <c r="A146" t="s">
        <v>278</v>
      </c>
      <c r="B146" s="28" t="s">
        <v>169</v>
      </c>
      <c r="H146" s="50" t="s">
        <v>1351</v>
      </c>
      <c r="I146" s="50" t="s">
        <v>1165</v>
      </c>
      <c r="J146" t="str">
        <f>IFERROR(VLOOKUP(Table35[[#This Row],[R&amp;D Tags]],H:H,1,FALSE), " ")</f>
        <v>2-008-CI033_01-X</v>
      </c>
    </row>
    <row r="147" spans="1:10" ht="15.75" x14ac:dyDescent="0.25">
      <c r="A147" t="s">
        <v>290</v>
      </c>
      <c r="B147" s="29" t="s">
        <v>166</v>
      </c>
      <c r="H147" s="50" t="s">
        <v>1355</v>
      </c>
      <c r="I147" s="50" t="s">
        <v>1063</v>
      </c>
      <c r="J147" t="str">
        <f>IFERROR(VLOOKUP(Table35[[#This Row],[R&amp;D Tags]],H:H,1,FALSE), " ")</f>
        <v>2-008-PD087_01-X</v>
      </c>
    </row>
    <row r="148" spans="1:10" ht="15.75" x14ac:dyDescent="0.25">
      <c r="A148" t="s">
        <v>302</v>
      </c>
      <c r="B148" s="29" t="s">
        <v>163</v>
      </c>
      <c r="H148" s="50" t="s">
        <v>1363</v>
      </c>
      <c r="I148" s="50" t="s">
        <v>1071</v>
      </c>
      <c r="J148" t="str">
        <f>IFERROR(VLOOKUP(Table35[[#This Row],[R&amp;D Tags]],H:H,1,FALSE), " ")</f>
        <v>2-008-PD087_11-X</v>
      </c>
    </row>
    <row r="149" spans="1:10" ht="15.75" x14ac:dyDescent="0.25">
      <c r="A149" t="s">
        <v>306</v>
      </c>
      <c r="B149" s="28" t="s">
        <v>131</v>
      </c>
      <c r="H149" s="50" t="s">
        <v>765</v>
      </c>
      <c r="I149" s="50" t="s">
        <v>1059</v>
      </c>
      <c r="J149" t="str">
        <f>IFERROR(VLOOKUP(Table35[[#This Row],[R&amp;D Tags]],H:H,1,FALSE), " ")</f>
        <v>2-008-PI087_02-X</v>
      </c>
    </row>
    <row r="150" spans="1:10" x14ac:dyDescent="0.25">
      <c r="A150" t="s">
        <v>681</v>
      </c>
      <c r="B150" s="27" t="s">
        <v>131</v>
      </c>
      <c r="H150" s="50" t="s">
        <v>761</v>
      </c>
      <c r="I150" s="50" t="s">
        <v>1067</v>
      </c>
      <c r="J150" t="str">
        <f>IFERROR(VLOOKUP(Table35[[#This Row],[R&amp;D Tags]],H:H,1,FALSE), " ")</f>
        <v>2-008-PI087_11-X</v>
      </c>
    </row>
    <row r="151" spans="1:10" ht="15.75" x14ac:dyDescent="0.25">
      <c r="A151" t="s">
        <v>697</v>
      </c>
      <c r="B151" s="28" t="s">
        <v>134</v>
      </c>
      <c r="H151" s="50" t="s">
        <v>197</v>
      </c>
      <c r="I151" s="50" t="s">
        <v>1115</v>
      </c>
      <c r="J151" t="str">
        <f>IFERROR(VLOOKUP(Table35[[#This Row],[R&amp;D Tags]],H:H,1,FALSE), " ")</f>
        <v>2-008-PI087_21-X</v>
      </c>
    </row>
    <row r="152" spans="1:10" x14ac:dyDescent="0.25">
      <c r="A152" t="s">
        <v>693</v>
      </c>
      <c r="B152" s="27" t="s">
        <v>134</v>
      </c>
      <c r="H152" s="50" t="s">
        <v>200</v>
      </c>
      <c r="I152" s="50" t="s">
        <v>657</v>
      </c>
      <c r="J152" t="str">
        <f>IFERROR(VLOOKUP(Table35[[#This Row],[R&amp;D Tags]],H:H,1,FALSE), " ")</f>
        <v>2-008-PI807_01-X</v>
      </c>
    </row>
    <row r="153" spans="1:10" x14ac:dyDescent="0.25">
      <c r="A153" t="s">
        <v>705</v>
      </c>
      <c r="B153" s="27" t="s">
        <v>1526</v>
      </c>
      <c r="H153" s="50" t="s">
        <v>212</v>
      </c>
      <c r="I153" s="50" t="s">
        <v>1033</v>
      </c>
      <c r="J153" t="str">
        <f>IFERROR(VLOOKUP(Table35[[#This Row],[R&amp;D Tags]],H:H,1,FALSE), " ")</f>
        <v>2-008-QC041_30_2-X</v>
      </c>
    </row>
    <row r="154" spans="1:10" x14ac:dyDescent="0.25">
      <c r="A154" t="s">
        <v>717</v>
      </c>
      <c r="B154" s="27" t="s">
        <v>1527</v>
      </c>
      <c r="H154" s="50" t="s">
        <v>209</v>
      </c>
      <c r="I154" s="50" t="s">
        <v>1244</v>
      </c>
      <c r="J154" t="str">
        <f>IFERROR(VLOOKUP(Table35[[#This Row],[R&amp;D Tags]],H:H,1,FALSE), " ")</f>
        <v>2-008-QI041.05.02-X</v>
      </c>
    </row>
    <row r="155" spans="1:10" x14ac:dyDescent="0.25">
      <c r="A155" t="s">
        <v>729</v>
      </c>
      <c r="B155" s="26" t="s">
        <v>1527</v>
      </c>
      <c r="H155" s="50" t="s">
        <v>236</v>
      </c>
      <c r="I155" s="50" t="s">
        <v>1233</v>
      </c>
      <c r="J155" t="str">
        <f>IFERROR(VLOOKUP(Table35[[#This Row],[R&amp;D Tags]],H:H,1,FALSE), " ")</f>
        <v>2-008-QI041.25.01-X</v>
      </c>
    </row>
    <row r="156" spans="1:10" ht="15.75" x14ac:dyDescent="0.25">
      <c r="A156" t="s">
        <v>741</v>
      </c>
      <c r="B156" s="28" t="s">
        <v>143</v>
      </c>
      <c r="H156" s="50" t="s">
        <v>233</v>
      </c>
      <c r="I156" s="50" t="s">
        <v>1248</v>
      </c>
      <c r="J156" t="str">
        <f>IFERROR(VLOOKUP(Table35[[#This Row],[R&amp;D Tags]],H:H,1,FALSE), " ")</f>
        <v>2-008-QI041_05_02-X</v>
      </c>
    </row>
    <row r="157" spans="1:10" x14ac:dyDescent="0.25">
      <c r="A157" t="s">
        <v>757</v>
      </c>
      <c r="B157" s="26" t="s">
        <v>1079</v>
      </c>
      <c r="H157" s="50" t="s">
        <v>230</v>
      </c>
      <c r="I157" s="50" t="s">
        <v>1252</v>
      </c>
      <c r="J157" t="str">
        <f>IFERROR(VLOOKUP(Table35[[#This Row],[R&amp;D Tags]],H:H,1,FALSE), " ")</f>
        <v>2-008-QI041_10_2-X</v>
      </c>
    </row>
    <row r="158" spans="1:10" x14ac:dyDescent="0.25">
      <c r="A158" t="s">
        <v>282</v>
      </c>
      <c r="B158" s="26" t="s">
        <v>1091</v>
      </c>
      <c r="H158" s="50" t="s">
        <v>218</v>
      </c>
      <c r="I158" s="50" t="s">
        <v>1229</v>
      </c>
      <c r="J158" t="str">
        <f>IFERROR(VLOOKUP(Table35[[#This Row],[R&amp;D Tags]],H:H,1,FALSE), " ")</f>
        <v>2-008-QI041_25_01-X</v>
      </c>
    </row>
    <row r="159" spans="1:10" x14ac:dyDescent="0.25">
      <c r="A159" t="s">
        <v>298</v>
      </c>
      <c r="B159" s="27" t="s">
        <v>1161</v>
      </c>
      <c r="H159" s="50" t="s">
        <v>227</v>
      </c>
      <c r="I159" s="50" t="s">
        <v>1213</v>
      </c>
      <c r="J159" t="str">
        <f>IFERROR(VLOOKUP(Table35[[#This Row],[R&amp;D Tags]],H:H,1,FALSE), " ")</f>
        <v>2-008-QI041_30_04-X</v>
      </c>
    </row>
    <row r="160" spans="1:10" ht="15.75" x14ac:dyDescent="0.25">
      <c r="A160" t="s">
        <v>294</v>
      </c>
      <c r="B160" s="28" t="s">
        <v>157</v>
      </c>
      <c r="H160" s="50" t="s">
        <v>224</v>
      </c>
      <c r="I160" s="50" t="s">
        <v>1220</v>
      </c>
      <c r="J160" t="str">
        <f>IFERROR(VLOOKUP(Table35[[#This Row],[R&amp;D Tags]],H:H,1,FALSE), " ")</f>
        <v>2-008-QI042_01-X</v>
      </c>
    </row>
    <row r="161" spans="1:10" ht="15.75" x14ac:dyDescent="0.25">
      <c r="A161" t="s">
        <v>314</v>
      </c>
      <c r="B161" s="28" t="s">
        <v>160</v>
      </c>
      <c r="H161" s="50" t="s">
        <v>221</v>
      </c>
      <c r="I161" s="50" t="s">
        <v>1042</v>
      </c>
      <c r="J161" t="str">
        <f>IFERROR(VLOOKUP(Table35[[#This Row],[R&amp;D Tags]],H:H,1,FALSE), " ")</f>
        <v>2-008-QI046_02-X</v>
      </c>
    </row>
    <row r="162" spans="1:10" x14ac:dyDescent="0.25">
      <c r="A162" t="s">
        <v>318</v>
      </c>
      <c r="B162" s="26" t="s">
        <v>1083</v>
      </c>
      <c r="H162" s="50" t="s">
        <v>244</v>
      </c>
      <c r="I162" s="50" t="s">
        <v>1051</v>
      </c>
      <c r="J162" t="str">
        <f>IFERROR(VLOOKUP(Table35[[#This Row],[R&amp;D Tags]],H:H,1,FALSE), " ")</f>
        <v>2-008-QI049_02-X</v>
      </c>
    </row>
    <row r="163" spans="1:10" x14ac:dyDescent="0.25">
      <c r="A163" t="s">
        <v>1411</v>
      </c>
      <c r="B163" s="27" t="s">
        <v>1099</v>
      </c>
      <c r="H163" s="50" t="s">
        <v>248</v>
      </c>
      <c r="I163" s="50" t="s">
        <v>1185</v>
      </c>
      <c r="J163" t="str">
        <f>IFERROR(VLOOKUP(Table35[[#This Row],[R&amp;D Tags]],H:H,1,FALSE), " ")</f>
        <v>2-008-TI041_05_1-X</v>
      </c>
    </row>
    <row r="164" spans="1:10" x14ac:dyDescent="0.25">
      <c r="A164" t="s">
        <v>1445</v>
      </c>
      <c r="B164" s="27" t="s">
        <v>1103</v>
      </c>
      <c r="H164" s="50" t="s">
        <v>665</v>
      </c>
      <c r="I164" s="50" t="s">
        <v>42</v>
      </c>
      <c r="J164" t="str">
        <f>IFERROR(VLOOKUP(Table35[[#This Row],[R&amp;D Tags]],H:H,1,FALSE), " ")</f>
        <v>2-008-VPOPE-AR0</v>
      </c>
    </row>
    <row r="165" spans="1:10" x14ac:dyDescent="0.25">
      <c r="A165" t="s">
        <v>1423</v>
      </c>
      <c r="B165" s="27" t="s">
        <v>1111</v>
      </c>
      <c r="H165" s="50" t="s">
        <v>1173</v>
      </c>
      <c r="I165" s="50" t="s">
        <v>725</v>
      </c>
      <c r="J165" t="str">
        <f>IFERROR(VLOOKUP(Table35[[#This Row],[R&amp;D Tags]],H:H,1,FALSE), " ")</f>
        <v>2-009-PC200_01-PCV2-W</v>
      </c>
    </row>
    <row r="166" spans="1:10" x14ac:dyDescent="0.25">
      <c r="A166" t="s">
        <v>1415</v>
      </c>
      <c r="B166" s="27" t="s">
        <v>1107</v>
      </c>
      <c r="H166" s="50" t="s">
        <v>1157</v>
      </c>
      <c r="I166" s="50" t="s">
        <v>733</v>
      </c>
      <c r="J166" t="str">
        <f>IFERROR(VLOOKUP(Table35[[#This Row],[R&amp;D Tags]],H:H,1,FALSE), " ")</f>
        <v>2-009-PC200_02-X</v>
      </c>
    </row>
    <row r="167" spans="1:10" x14ac:dyDescent="0.25">
      <c r="A167" t="s">
        <v>737</v>
      </c>
      <c r="B167" s="27" t="s">
        <v>1127</v>
      </c>
      <c r="H167" s="50" t="s">
        <v>1260</v>
      </c>
      <c r="I167" s="50" t="s">
        <v>745</v>
      </c>
      <c r="J167" t="str">
        <f>IFERROR(VLOOKUP(Table35[[#This Row],[R&amp;D Tags]],H:H,1,FALSE), " ")</f>
        <v>2-009-PC200_03_2-X</v>
      </c>
    </row>
    <row r="168" spans="1:10" x14ac:dyDescent="0.25">
      <c r="A168" t="s">
        <v>1037</v>
      </c>
      <c r="B168" s="27" t="s">
        <v>1123</v>
      </c>
      <c r="H168" s="50" t="s">
        <v>1165</v>
      </c>
      <c r="I168" s="50" t="s">
        <v>749</v>
      </c>
      <c r="J168" t="str">
        <f>IFERROR(VLOOKUP(Table35[[#This Row],[R&amp;D Tags]],H:H,1,FALSE), " ")</f>
        <v>2-009-PC200_03_3-X</v>
      </c>
    </row>
    <row r="169" spans="1:10" x14ac:dyDescent="0.25">
      <c r="A169" t="s">
        <v>958</v>
      </c>
      <c r="B169" s="27" t="s">
        <v>1528</v>
      </c>
      <c r="H169" s="50" t="s">
        <v>1193</v>
      </c>
      <c r="I169" s="50" t="s">
        <v>310</v>
      </c>
      <c r="J169" t="str">
        <f>IFERROR(VLOOKUP(Table35[[#This Row],[R&amp;D Tags]],H:H,1,FALSE), " ")</f>
        <v>2-009-PC200_04-X</v>
      </c>
    </row>
    <row r="170" spans="1:10" x14ac:dyDescent="0.25">
      <c r="A170" t="s">
        <v>962</v>
      </c>
      <c r="B170" s="27" t="s">
        <v>1529</v>
      </c>
      <c r="H170" s="50" t="s">
        <v>1193</v>
      </c>
      <c r="I170" s="50" t="s">
        <v>322</v>
      </c>
      <c r="J170" t="str">
        <f>IFERROR(VLOOKUP(Table35[[#This Row],[R&amp;D Tags]],H:H,1,FALSE), " ")</f>
        <v>2-009-PC200_05-X</v>
      </c>
    </row>
    <row r="171" spans="1:10" x14ac:dyDescent="0.25">
      <c r="A171" t="s">
        <v>914</v>
      </c>
      <c r="B171" s="27" t="s">
        <v>1530</v>
      </c>
      <c r="H171" s="50" t="s">
        <v>1197</v>
      </c>
      <c r="I171" s="50" t="s">
        <v>685</v>
      </c>
      <c r="J171" t="str">
        <f>IFERROR(VLOOKUP(Table35[[#This Row],[R&amp;D Tags]],H:H,1,FALSE), " ")</f>
        <v>2-009-PC201_01-X</v>
      </c>
    </row>
    <row r="172" spans="1:10" x14ac:dyDescent="0.25">
      <c r="A172" t="s">
        <v>918</v>
      </c>
      <c r="B172" s="27" t="s">
        <v>1531</v>
      </c>
      <c r="H172" s="50" t="s">
        <v>1197</v>
      </c>
      <c r="I172" s="50" t="s">
        <v>689</v>
      </c>
      <c r="J172" t="str">
        <f>IFERROR(VLOOKUP(Table35[[#This Row],[R&amp;D Tags]],H:H,1,FALSE), " ")</f>
        <v>2-009-PC201_02-X</v>
      </c>
    </row>
    <row r="173" spans="1:10" x14ac:dyDescent="0.25">
      <c r="A173" t="s">
        <v>916</v>
      </c>
      <c r="B173" s="27" t="s">
        <v>1532</v>
      </c>
      <c r="H173" s="50" t="s">
        <v>1197</v>
      </c>
      <c r="I173" s="50" t="s">
        <v>701</v>
      </c>
      <c r="J173" t="str">
        <f>IFERROR(VLOOKUP(Table35[[#This Row],[R&amp;D Tags]],H:H,1,FALSE), " ")</f>
        <v>2-009-PC201_03-X</v>
      </c>
    </row>
    <row r="174" spans="1:10" x14ac:dyDescent="0.25">
      <c r="A174" t="s">
        <v>421</v>
      </c>
      <c r="B174" s="27" t="s">
        <v>1533</v>
      </c>
      <c r="H174" s="50" t="s">
        <v>1216</v>
      </c>
      <c r="I174" s="50" t="s">
        <v>713</v>
      </c>
      <c r="J174" t="str">
        <f>IFERROR(VLOOKUP(Table35[[#This Row],[R&amp;D Tags]],H:H,1,FALSE), " ")</f>
        <v>2-009-PC201_04-X</v>
      </c>
    </row>
    <row r="175" spans="1:10" x14ac:dyDescent="0.25">
      <c r="A175" t="s">
        <v>413</v>
      </c>
      <c r="B175" s="27" t="s">
        <v>1534</v>
      </c>
      <c r="H175" s="50" t="s">
        <v>172</v>
      </c>
      <c r="I175" s="50" t="s">
        <v>709</v>
      </c>
      <c r="J175" t="str">
        <f>IFERROR(VLOOKUP(Table35[[#This Row],[R&amp;D Tags]],H:H,1,FALSE), " ")</f>
        <v>2-009-PC201_05-X</v>
      </c>
    </row>
    <row r="176" spans="1:10" x14ac:dyDescent="0.25">
      <c r="A176" t="s">
        <v>433</v>
      </c>
      <c r="B176" s="27" t="s">
        <v>1535</v>
      </c>
      <c r="H176" s="50" t="s">
        <v>169</v>
      </c>
      <c r="I176" s="50" t="s">
        <v>278</v>
      </c>
      <c r="J176" t="str">
        <f>IFERROR(VLOOKUP(Table35[[#This Row],[R&amp;D Tags]],H:H,1,FALSE), " ")</f>
        <v>2-009-PC204_01-X</v>
      </c>
    </row>
    <row r="177" spans="1:10" x14ac:dyDescent="0.25">
      <c r="A177" t="s">
        <v>429</v>
      </c>
      <c r="B177" s="27" t="s">
        <v>34</v>
      </c>
      <c r="H177" s="50" t="s">
        <v>166</v>
      </c>
      <c r="I177" s="50" t="s">
        <v>290</v>
      </c>
      <c r="J177" t="str">
        <f>IFERROR(VLOOKUP(Table35[[#This Row],[R&amp;D Tags]],H:H,1,FALSE), " ")</f>
        <v>2-009-PC204_02-X</v>
      </c>
    </row>
    <row r="178" spans="1:10" x14ac:dyDescent="0.25">
      <c r="A178" t="s">
        <v>437</v>
      </c>
      <c r="B178" s="27" t="s">
        <v>1189</v>
      </c>
      <c r="H178" s="50" t="s">
        <v>163</v>
      </c>
      <c r="I178" s="50" t="s">
        <v>302</v>
      </c>
      <c r="J178" t="str">
        <f>IFERROR(VLOOKUP(Table35[[#This Row],[R&amp;D Tags]],H:H,1,FALSE), " ")</f>
        <v>2-009-PC204_03-X</v>
      </c>
    </row>
    <row r="179" spans="1:10" x14ac:dyDescent="0.25">
      <c r="A179" t="s">
        <v>150</v>
      </c>
      <c r="B179" s="27" t="s">
        <v>1153</v>
      </c>
      <c r="H179" s="50" t="s">
        <v>131</v>
      </c>
      <c r="I179" s="50" t="s">
        <v>306</v>
      </c>
      <c r="J179" t="str">
        <f>IFERROR(VLOOKUP(Table35[[#This Row],[R&amp;D Tags]],H:H,1,FALSE), " ")</f>
        <v>2-009-PC204_04-X</v>
      </c>
    </row>
    <row r="180" spans="1:10" x14ac:dyDescent="0.25">
      <c r="A180" t="s">
        <v>425</v>
      </c>
      <c r="B180" s="27" t="s">
        <v>1143</v>
      </c>
      <c r="H180" s="50" t="s">
        <v>131</v>
      </c>
      <c r="I180" s="50" t="s">
        <v>681</v>
      </c>
      <c r="J180" t="str">
        <f>IFERROR(VLOOKUP(Table35[[#This Row],[R&amp;D Tags]],H:H,1,FALSE), " ")</f>
        <v>2-009-PD201_01-X</v>
      </c>
    </row>
    <row r="181" spans="1:10" x14ac:dyDescent="0.25">
      <c r="A181" t="s">
        <v>146</v>
      </c>
      <c r="B181" s="27" t="s">
        <v>1135</v>
      </c>
      <c r="H181" s="50" t="s">
        <v>134</v>
      </c>
      <c r="I181" s="50" t="s">
        <v>693</v>
      </c>
      <c r="J181" t="str">
        <f>IFERROR(VLOOKUP(Table35[[#This Row],[R&amp;D Tags]],H:H,1,FALSE), " ")</f>
        <v>2-009-PD201_03-X</v>
      </c>
    </row>
    <row r="182" spans="1:10" x14ac:dyDescent="0.25">
      <c r="A182" t="s">
        <v>417</v>
      </c>
      <c r="B182" s="27" t="s">
        <v>1131</v>
      </c>
      <c r="H182" s="50" t="s">
        <v>143</v>
      </c>
      <c r="I182" s="50" t="s">
        <v>741</v>
      </c>
      <c r="J182" t="str">
        <f>IFERROR(VLOOKUP(Table35[[#This Row],[R&amp;D Tags]],H:H,1,FALSE), " ")</f>
        <v>2-009-PD202_02-X</v>
      </c>
    </row>
    <row r="183" spans="1:10" x14ac:dyDescent="0.25">
      <c r="A183" t="s">
        <v>605</v>
      </c>
      <c r="B183" s="26" t="s">
        <v>1087</v>
      </c>
      <c r="H183" s="50" t="s">
        <v>1079</v>
      </c>
      <c r="I183" s="50" t="s">
        <v>757</v>
      </c>
      <c r="J183" t="str">
        <f>IFERROR(VLOOKUP(Table35[[#This Row],[R&amp;D Tags]],H:H,1,FALSE), " ")</f>
        <v>2-009-PD203_01-X</v>
      </c>
    </row>
    <row r="184" spans="1:10" x14ac:dyDescent="0.25">
      <c r="A184" t="s">
        <v>617</v>
      </c>
      <c r="B184" s="27" t="s">
        <v>1536</v>
      </c>
      <c r="H184" s="50" t="s">
        <v>1091</v>
      </c>
      <c r="I184" s="50" t="s">
        <v>282</v>
      </c>
      <c r="J184" t="str">
        <f>IFERROR(VLOOKUP(Table35[[#This Row],[R&amp;D Tags]],H:H,1,FALSE), " ")</f>
        <v>2-009-PD204_01-X</v>
      </c>
    </row>
    <row r="185" spans="1:10" x14ac:dyDescent="0.25">
      <c r="A185" t="s">
        <v>445</v>
      </c>
      <c r="B185" s="27" t="s">
        <v>1537</v>
      </c>
      <c r="H185" s="50" t="s">
        <v>1161</v>
      </c>
      <c r="I185" s="50" t="s">
        <v>298</v>
      </c>
      <c r="J185" t="str">
        <f>IFERROR(VLOOKUP(Table35[[#This Row],[R&amp;D Tags]],H:H,1,FALSE), " ")</f>
        <v>2-009-PD204_02-X</v>
      </c>
    </row>
    <row r="186" spans="1:10" x14ac:dyDescent="0.25">
      <c r="A186" t="s">
        <v>447</v>
      </c>
      <c r="B186" s="27" t="s">
        <v>1095</v>
      </c>
      <c r="H186" s="50" t="s">
        <v>157</v>
      </c>
      <c r="I186" s="50" t="s">
        <v>294</v>
      </c>
      <c r="J186" t="str">
        <f>IFERROR(VLOOKUP(Table35[[#This Row],[R&amp;D Tags]],H:H,1,FALSE), " ")</f>
        <v>2-009-PD204_03-X</v>
      </c>
    </row>
    <row r="187" spans="1:10" x14ac:dyDescent="0.25">
      <c r="A187" t="s">
        <v>609</v>
      </c>
      <c r="B187" s="26" t="s">
        <v>1055</v>
      </c>
      <c r="H187" s="50" t="s">
        <v>160</v>
      </c>
      <c r="I187" s="50" t="s">
        <v>314</v>
      </c>
      <c r="J187" t="str">
        <f>IFERROR(VLOOKUP(Table35[[#This Row],[R&amp;D Tags]],H:H,1,FALSE), " ")</f>
        <v>2-009-PD204_04-X</v>
      </c>
    </row>
    <row r="188" spans="1:10" x14ac:dyDescent="0.25">
      <c r="A188" t="s">
        <v>621</v>
      </c>
      <c r="B188" s="26" t="s">
        <v>1063</v>
      </c>
      <c r="H188" s="50" t="s">
        <v>1083</v>
      </c>
      <c r="I188" s="50" t="s">
        <v>318</v>
      </c>
      <c r="J188" t="str">
        <f>IFERROR(VLOOKUP(Table35[[#This Row],[R&amp;D Tags]],H:H,1,FALSE), " ")</f>
        <v>2-009-PD205_01-X</v>
      </c>
    </row>
    <row r="189" spans="1:10" x14ac:dyDescent="0.25">
      <c r="A189" t="s">
        <v>465</v>
      </c>
      <c r="B189" s="26" t="s">
        <v>1071</v>
      </c>
      <c r="H189" s="50" t="s">
        <v>1127</v>
      </c>
      <c r="I189" s="50" t="s">
        <v>737</v>
      </c>
      <c r="J189" t="str">
        <f>IFERROR(VLOOKUP(Table35[[#This Row],[R&amp;D Tags]],H:H,1,FALSE), " ")</f>
        <v>2-009-TC201_01-X</v>
      </c>
    </row>
    <row r="190" spans="1:10" x14ac:dyDescent="0.25">
      <c r="A190" t="s">
        <v>477</v>
      </c>
      <c r="B190" s="27" t="s">
        <v>1119</v>
      </c>
      <c r="H190" s="50" t="s">
        <v>1123</v>
      </c>
      <c r="I190" s="50" t="s">
        <v>1037</v>
      </c>
      <c r="J190" t="str">
        <f>IFERROR(VLOOKUP(Table35[[#This Row],[R&amp;D Tags]],H:H,1,FALSE), " ")</f>
        <v>2-009-TI209_01-X</v>
      </c>
    </row>
    <row r="191" spans="1:10" x14ac:dyDescent="0.25">
      <c r="A191" t="s">
        <v>388</v>
      </c>
      <c r="B191" s="27" t="s">
        <v>1181</v>
      </c>
      <c r="H191" s="50" t="s">
        <v>1189</v>
      </c>
      <c r="I191" s="50" t="s">
        <v>437</v>
      </c>
      <c r="J191" t="str">
        <f>IFERROR(VLOOKUP(Table35[[#This Row],[R&amp;D Tags]],H:H,1,FALSE), " ")</f>
        <v>2-033-FI100-D3</v>
      </c>
    </row>
    <row r="192" spans="1:10" x14ac:dyDescent="0.25">
      <c r="A192" t="s">
        <v>405</v>
      </c>
      <c r="B192" s="27" t="s">
        <v>1139</v>
      </c>
      <c r="H192" s="50" t="s">
        <v>1153</v>
      </c>
      <c r="I192" s="50" t="s">
        <v>150</v>
      </c>
      <c r="J192" t="str">
        <f>IFERROR(VLOOKUP(Table35[[#This Row],[R&amp;D Tags]],H:H,1,FALSE), " ")</f>
        <v>2-033-FI100-G_M2</v>
      </c>
    </row>
    <row r="193" spans="1:10" x14ac:dyDescent="0.25">
      <c r="A193" t="s">
        <v>601</v>
      </c>
      <c r="B193" s="27" t="s">
        <v>1169</v>
      </c>
      <c r="H193" s="50" t="s">
        <v>1143</v>
      </c>
      <c r="I193" s="50" t="s">
        <v>425</v>
      </c>
      <c r="J193" t="str">
        <f>IFERROR(VLOOKUP(Table35[[#This Row],[R&amp;D Tags]],H:H,1,FALSE), " ")</f>
        <v>2-033-FI100-X</v>
      </c>
    </row>
    <row r="194" spans="1:10" x14ac:dyDescent="0.25">
      <c r="A194" t="s">
        <v>613</v>
      </c>
      <c r="B194" s="26" t="s">
        <v>1075</v>
      </c>
      <c r="H194" s="50" t="s">
        <v>1131</v>
      </c>
      <c r="I194" s="50" t="s">
        <v>417</v>
      </c>
      <c r="J194" t="str">
        <f>IFERROR(VLOOKUP(Table35[[#This Row],[R&amp;D Tags]],H:H,1,FALSE), " ")</f>
        <v>2-033-FI200-X</v>
      </c>
    </row>
    <row r="195" spans="1:10" x14ac:dyDescent="0.25">
      <c r="A195" t="s">
        <v>264</v>
      </c>
      <c r="B195" s="26" t="s">
        <v>1059</v>
      </c>
      <c r="H195" s="50" t="s">
        <v>1087</v>
      </c>
      <c r="I195" s="50" t="s">
        <v>605</v>
      </c>
      <c r="J195" t="str">
        <f>IFERROR(VLOOKUP(Table35[[#This Row],[R&amp;D Tags]],H:H,1,FALSE), " ")</f>
        <v>2-033-LC100-X</v>
      </c>
    </row>
    <row r="196" spans="1:10" x14ac:dyDescent="0.25">
      <c r="A196" t="s">
        <v>461</v>
      </c>
      <c r="B196" s="26" t="s">
        <v>1067</v>
      </c>
      <c r="H196" s="50" t="s">
        <v>1095</v>
      </c>
      <c r="I196" s="50" t="s">
        <v>447</v>
      </c>
      <c r="J196" t="str">
        <f>IFERROR(VLOOKUP(Table35[[#This Row],[R&amp;D Tags]],H:H,1,FALSE), " ")</f>
        <v>2-033-M055-SEL</v>
      </c>
    </row>
    <row r="197" spans="1:10" x14ac:dyDescent="0.25">
      <c r="A197" t="s">
        <v>469</v>
      </c>
      <c r="B197" s="27" t="s">
        <v>1115</v>
      </c>
      <c r="H197" s="50" t="s">
        <v>1055</v>
      </c>
      <c r="I197" s="50" t="s">
        <v>609</v>
      </c>
      <c r="J197" t="str">
        <f>IFERROR(VLOOKUP(Table35[[#This Row],[R&amp;D Tags]],H:H,1,FALSE), " ")</f>
        <v>2-033-PD110-X</v>
      </c>
    </row>
    <row r="198" spans="1:10" x14ac:dyDescent="0.25">
      <c r="A198" t="s">
        <v>384</v>
      </c>
      <c r="B198" s="27" t="s">
        <v>657</v>
      </c>
      <c r="H198" s="50" t="s">
        <v>1063</v>
      </c>
      <c r="I198" s="50" t="s">
        <v>621</v>
      </c>
      <c r="J198" t="str">
        <f>IFERROR(VLOOKUP(Table35[[#This Row],[R&amp;D Tags]],H:H,1,FALSE), " ")</f>
        <v>2-033-PD210-X</v>
      </c>
    </row>
    <row r="199" spans="1:10" x14ac:dyDescent="0.25">
      <c r="A199" t="s">
        <v>380</v>
      </c>
      <c r="B199" s="27" t="s">
        <v>1033</v>
      </c>
      <c r="H199" s="50" t="s">
        <v>1071</v>
      </c>
      <c r="I199" s="50" t="s">
        <v>465</v>
      </c>
      <c r="J199" t="str">
        <f>IFERROR(VLOOKUP(Table35[[#This Row],[R&amp;D Tags]],H:H,1,FALSE), " ")</f>
        <v>2-033-PI045-X</v>
      </c>
    </row>
    <row r="200" spans="1:10" x14ac:dyDescent="0.25">
      <c r="A200" t="s">
        <v>457</v>
      </c>
      <c r="B200" s="27" t="s">
        <v>1033</v>
      </c>
      <c r="H200" s="50" t="s">
        <v>1119</v>
      </c>
      <c r="I200" s="50" t="s">
        <v>477</v>
      </c>
      <c r="J200" t="str">
        <f>IFERROR(VLOOKUP(Table35[[#This Row],[R&amp;D Tags]],H:H,1,FALSE), " ")</f>
        <v>2-033-PI055-X</v>
      </c>
    </row>
    <row r="201" spans="1:10" x14ac:dyDescent="0.25">
      <c r="A201" t="s">
        <v>473</v>
      </c>
      <c r="B201" s="27" t="s">
        <v>1538</v>
      </c>
      <c r="H201" s="50" t="s">
        <v>1181</v>
      </c>
      <c r="I201" s="50" t="s">
        <v>388</v>
      </c>
      <c r="J201" t="str">
        <f>IFERROR(VLOOKUP(Table35[[#This Row],[R&amp;D Tags]],H:H,1,FALSE), " ")</f>
        <v>2-033-PI150-X</v>
      </c>
    </row>
    <row r="202" spans="1:10" x14ac:dyDescent="0.25">
      <c r="A202" t="s">
        <v>777</v>
      </c>
      <c r="B202" s="27" t="s">
        <v>1244</v>
      </c>
      <c r="H202" s="50" t="s">
        <v>1139</v>
      </c>
      <c r="I202" s="50" t="s">
        <v>405</v>
      </c>
      <c r="J202" t="str">
        <f>IFERROR(VLOOKUP(Table35[[#This Row],[R&amp;D Tags]],H:H,1,FALSE), " ")</f>
        <v>2-033-PI250-X</v>
      </c>
    </row>
    <row r="203" spans="1:10" x14ac:dyDescent="0.25">
      <c r="A203" t="s">
        <v>789</v>
      </c>
      <c r="B203" s="27" t="s">
        <v>1233</v>
      </c>
      <c r="H203" s="50" t="s">
        <v>1169</v>
      </c>
      <c r="I203" s="50" t="s">
        <v>601</v>
      </c>
      <c r="J203" t="str">
        <f>IFERROR(VLOOKUP(Table35[[#This Row],[R&amp;D Tags]],H:H,1,FALSE), " ")</f>
        <v>2-033-TI100-X</v>
      </c>
    </row>
    <row r="204" spans="1:10" x14ac:dyDescent="0.25">
      <c r="A204" t="s">
        <v>340</v>
      </c>
      <c r="B204" s="27" t="s">
        <v>1248</v>
      </c>
      <c r="H204" s="50" t="s">
        <v>1075</v>
      </c>
      <c r="I204" s="50" t="s">
        <v>613</v>
      </c>
      <c r="J204" t="str">
        <f>IFERROR(VLOOKUP(Table35[[#This Row],[R&amp;D Tags]],H:H,1,FALSE), " ")</f>
        <v>2-033-TI200-X</v>
      </c>
    </row>
    <row r="205" spans="1:10" x14ac:dyDescent="0.25">
      <c r="A205" t="s">
        <v>769</v>
      </c>
      <c r="B205" s="27" t="s">
        <v>1252</v>
      </c>
      <c r="H205" s="50" t="s">
        <v>1059</v>
      </c>
      <c r="I205" s="50" t="s">
        <v>264</v>
      </c>
      <c r="J205" t="str">
        <f>IFERROR(VLOOKUP(Table35[[#This Row],[R&amp;D Tags]],H:H,1,FALSE), " ")</f>
        <v>2-033-UZ001-MD_SPEED-X</v>
      </c>
    </row>
    <row r="206" spans="1:10" x14ac:dyDescent="0.25">
      <c r="A206" t="s">
        <v>350</v>
      </c>
      <c r="B206" s="27" t="s">
        <v>1539</v>
      </c>
      <c r="H206" s="50" t="s">
        <v>1067</v>
      </c>
      <c r="I206" s="50" t="s">
        <v>461</v>
      </c>
      <c r="J206" t="str">
        <f>IFERROR(VLOOKUP(Table35[[#This Row],[R&amp;D Tags]],H:H,1,FALSE), " ")</f>
        <v>2-033-Y041-X</v>
      </c>
    </row>
    <row r="207" spans="1:10" x14ac:dyDescent="0.25">
      <c r="A207" t="s">
        <v>453</v>
      </c>
      <c r="B207" s="27" t="s">
        <v>1229</v>
      </c>
      <c r="H207" s="50" t="s">
        <v>1115</v>
      </c>
      <c r="I207" s="50" t="s">
        <v>469</v>
      </c>
      <c r="J207" t="str">
        <f>IFERROR(VLOOKUP(Table35[[#This Row],[R&amp;D Tags]],H:H,1,FALSE), " ")</f>
        <v>2-033-Y051-X</v>
      </c>
    </row>
    <row r="208" spans="1:10" x14ac:dyDescent="0.25">
      <c r="A208" t="s">
        <v>781</v>
      </c>
      <c r="B208" s="27" t="s">
        <v>1540</v>
      </c>
      <c r="H208" s="50" t="s">
        <v>657</v>
      </c>
      <c r="I208" s="50" t="s">
        <v>384</v>
      </c>
      <c r="J208" t="str">
        <f>IFERROR(VLOOKUP(Table35[[#This Row],[R&amp;D Tags]],H:H,1,FALSE), " ")</f>
        <v>2-033-YP021_01-X</v>
      </c>
    </row>
    <row r="209" spans="1:10" x14ac:dyDescent="0.25">
      <c r="A209" t="s">
        <v>793</v>
      </c>
      <c r="B209" s="27" t="s">
        <v>1541</v>
      </c>
      <c r="H209" s="50" t="s">
        <v>1033</v>
      </c>
      <c r="I209" s="50" t="s">
        <v>380</v>
      </c>
      <c r="J209" t="str">
        <f>IFERROR(VLOOKUP(Table35[[#This Row],[R&amp;D Tags]],H:H,1,FALSE), " ")</f>
        <v>2-033-YP021_02-X</v>
      </c>
    </row>
    <row r="210" spans="1:10" x14ac:dyDescent="0.25">
      <c r="A210" t="s">
        <v>809</v>
      </c>
      <c r="B210" s="27" t="s">
        <v>1542</v>
      </c>
      <c r="H210" s="50" t="s">
        <v>1033</v>
      </c>
      <c r="I210" s="50" t="s">
        <v>457</v>
      </c>
      <c r="J210" t="str">
        <f>IFERROR(VLOOKUP(Table35[[#This Row],[R&amp;D Tags]],H:H,1,FALSE), " ")</f>
        <v>2-033-YP044-X</v>
      </c>
    </row>
    <row r="211" spans="1:10" x14ac:dyDescent="0.25">
      <c r="A211" t="s">
        <v>273</v>
      </c>
      <c r="B211" s="27" t="s">
        <v>1213</v>
      </c>
      <c r="H211" s="50" t="s">
        <v>1244</v>
      </c>
      <c r="I211" s="50" t="s">
        <v>777</v>
      </c>
      <c r="J211" t="str">
        <f>IFERROR(VLOOKUP(Table35[[#This Row],[R&amp;D Tags]],H:H,1,FALSE), " ")</f>
        <v>2-044-MC133-X</v>
      </c>
    </row>
    <row r="212" spans="1:10" x14ac:dyDescent="0.25">
      <c r="A212" t="s">
        <v>286</v>
      </c>
      <c r="B212" s="27" t="s">
        <v>1220</v>
      </c>
      <c r="H212" s="50" t="s">
        <v>1233</v>
      </c>
      <c r="I212" s="50" t="s">
        <v>789</v>
      </c>
      <c r="J212" t="str">
        <f>IFERROR(VLOOKUP(Table35[[#This Row],[R&amp;D Tags]],H:H,1,FALSE), " ")</f>
        <v>2-044-MC233-X</v>
      </c>
    </row>
    <row r="213" spans="1:10" x14ac:dyDescent="0.25">
      <c r="A213" t="s">
        <v>449</v>
      </c>
      <c r="B213" s="27" t="s">
        <v>1543</v>
      </c>
      <c r="H213" s="50" t="s">
        <v>1248</v>
      </c>
      <c r="I213" s="50" t="s">
        <v>340</v>
      </c>
      <c r="J213" t="str">
        <f>IFERROR(VLOOKUP(Table35[[#This Row],[R&amp;D Tags]],H:H,1,FALSE), " ")</f>
        <v>2-044-MC533-X</v>
      </c>
    </row>
    <row r="214" spans="1:10" x14ac:dyDescent="0.25">
      <c r="A214" t="s">
        <v>785</v>
      </c>
      <c r="B214" s="27" t="s">
        <v>1042</v>
      </c>
      <c r="H214" s="50" t="s">
        <v>1252</v>
      </c>
      <c r="I214" s="50" t="s">
        <v>769</v>
      </c>
      <c r="J214" t="str">
        <f>IFERROR(VLOOKUP(Table35[[#This Row],[R&amp;D Tags]],H:H,1,FALSE), " ")</f>
        <v>2-044-PC104-X</v>
      </c>
    </row>
    <row r="215" spans="1:10" x14ac:dyDescent="0.25">
      <c r="A215" t="s">
        <v>801</v>
      </c>
      <c r="B215" s="27" t="s">
        <v>1544</v>
      </c>
      <c r="H215" s="50" t="s">
        <v>1229</v>
      </c>
      <c r="I215" s="50" t="s">
        <v>453</v>
      </c>
      <c r="J215" t="str">
        <f>IFERROR(VLOOKUP(Table35[[#This Row],[R&amp;D Tags]],H:H,1,FALSE), " ")</f>
        <v>2-044-PI712-X</v>
      </c>
    </row>
    <row r="216" spans="1:10" x14ac:dyDescent="0.25">
      <c r="A216" t="s">
        <v>345</v>
      </c>
      <c r="B216" s="27" t="s">
        <v>1051</v>
      </c>
      <c r="H216" s="50" t="s">
        <v>1213</v>
      </c>
      <c r="I216" s="50" t="s">
        <v>273</v>
      </c>
      <c r="J216" t="str">
        <f>IFERROR(VLOOKUP(Table35[[#This Row],[R&amp;D Tags]],H:H,1,FALSE), " ")</f>
        <v>2-044-TC413-X</v>
      </c>
    </row>
    <row r="217" spans="1:10" x14ac:dyDescent="0.25">
      <c r="A217" t="s">
        <v>103</v>
      </c>
      <c r="B217" s="27" t="s">
        <v>1545</v>
      </c>
      <c r="H217" s="50" t="s">
        <v>1220</v>
      </c>
      <c r="I217" s="50" t="s">
        <v>286</v>
      </c>
      <c r="J217" t="str">
        <f>IFERROR(VLOOKUP(Table35[[#This Row],[R&amp;D Tags]],H:H,1,FALSE), " ")</f>
        <v>2-044-TC513-X</v>
      </c>
    </row>
    <row r="218" spans="1:10" x14ac:dyDescent="0.25">
      <c r="A218" t="s">
        <v>107</v>
      </c>
      <c r="B218" s="27" t="s">
        <v>1546</v>
      </c>
      <c r="H218" s="50" t="s">
        <v>1042</v>
      </c>
      <c r="I218" s="50" t="s">
        <v>785</v>
      </c>
      <c r="J218" t="str">
        <f>IFERROR(VLOOKUP(Table35[[#This Row],[R&amp;D Tags]],H:H,1,FALSE), " ")</f>
        <v>2-044-TI304_NL</v>
      </c>
    </row>
    <row r="219" spans="1:10" x14ac:dyDescent="0.25">
      <c r="A219" t="s">
        <v>111</v>
      </c>
      <c r="B219" s="27" t="s">
        <v>1185</v>
      </c>
      <c r="H219" s="50" t="s">
        <v>1051</v>
      </c>
      <c r="I219" s="50" t="s">
        <v>345</v>
      </c>
      <c r="J219" t="str">
        <f>IFERROR(VLOOKUP(Table35[[#This Row],[R&amp;D Tags]],H:H,1,FALSE), " ")</f>
        <v>2-044-TI704_NL</v>
      </c>
    </row>
    <row r="220" spans="1:10" x14ac:dyDescent="0.25">
      <c r="A220" t="s">
        <v>116</v>
      </c>
      <c r="B220" s="27" t="s">
        <v>1177</v>
      </c>
      <c r="H220" s="50" t="s">
        <v>1185</v>
      </c>
      <c r="I220" s="50" t="s">
        <v>111</v>
      </c>
      <c r="J220" t="str">
        <f>IFERROR(VLOOKUP(Table35[[#This Row],[R&amp;D Tags]],H:H,1,FALSE), " ")</f>
        <v>2-060-NI003-X</v>
      </c>
    </row>
    <row r="221" spans="1:10" x14ac:dyDescent="0.25">
      <c r="A221" t="s">
        <v>118</v>
      </c>
      <c r="B221" s="27" t="s">
        <v>42</v>
      </c>
      <c r="H221" s="50" t="s">
        <v>1177</v>
      </c>
      <c r="I221" s="50" t="s">
        <v>116</v>
      </c>
      <c r="J221" t="str">
        <f>IFERROR(VLOOKUP(Table35[[#This Row],[R&amp;D Tags]],H:H,1,FALSE), " ")</f>
        <v>2-060-WC050_01-X</v>
      </c>
    </row>
    <row r="222" spans="1:10" x14ac:dyDescent="0.25">
      <c r="A222" t="s">
        <v>93</v>
      </c>
      <c r="B222" s="27" t="s">
        <v>1407</v>
      </c>
      <c r="H222" s="50" t="s">
        <v>42</v>
      </c>
      <c r="I222" s="50" t="s">
        <v>118</v>
      </c>
      <c r="J222" t="str">
        <f>IFERROR(VLOOKUP(Table35[[#This Row],[R&amp;D Tags]],H:H,1,FALSE), " ")</f>
        <v>2-060-WC050_02-X</v>
      </c>
    </row>
    <row r="223" spans="1:10" x14ac:dyDescent="0.25">
      <c r="A223" t="s">
        <v>98</v>
      </c>
      <c r="B223" s="30" t="s">
        <v>1547</v>
      </c>
      <c r="H223" s="50" t="s">
        <v>1407</v>
      </c>
      <c r="I223" s="50" t="s">
        <v>93</v>
      </c>
      <c r="J223" t="str">
        <f>IFERROR(VLOOKUP(Table35[[#This Row],[R&amp;D Tags]],H:H,1,FALSE), " ")</f>
        <v>2-060-YP045-X</v>
      </c>
    </row>
    <row r="224" spans="1:10" x14ac:dyDescent="0.25">
      <c r="A224" t="s">
        <v>120</v>
      </c>
      <c r="B224" s="30" t="s">
        <v>1548</v>
      </c>
      <c r="H224" s="50" t="s">
        <v>725</v>
      </c>
      <c r="I224" s="50" t="s">
        <v>568</v>
      </c>
      <c r="J224" t="str">
        <f>IFERROR(VLOOKUP(Table35[[#This Row],[R&amp;D Tags]],H:H,1,FALSE), " ")</f>
        <v>2-076-FC030_01-X</v>
      </c>
    </row>
    <row r="225" spans="1:10" x14ac:dyDescent="0.25">
      <c r="A225" t="s">
        <v>124</v>
      </c>
      <c r="B225" s="33" t="s">
        <v>1548</v>
      </c>
      <c r="H225" s="50" t="s">
        <v>721</v>
      </c>
      <c r="I225" s="50" t="s">
        <v>593</v>
      </c>
      <c r="J225" t="str">
        <f>IFERROR(VLOOKUP(Table35[[#This Row],[R&amp;D Tags]],H:H,1,FALSE), " ")</f>
        <v>2-076-FC050_01-X</v>
      </c>
    </row>
    <row r="226" spans="1:10" x14ac:dyDescent="0.25">
      <c r="A226" t="s">
        <v>499</v>
      </c>
      <c r="B226" s="30" t="s">
        <v>1549</v>
      </c>
      <c r="H226" s="50" t="s">
        <v>733</v>
      </c>
      <c r="I226" s="50" t="s">
        <v>539</v>
      </c>
      <c r="J226" t="str">
        <f>IFERROR(VLOOKUP(Table35[[#This Row],[R&amp;D Tags]],H:H,1,FALSE), " ")</f>
        <v>2-076-FC061_01-X</v>
      </c>
    </row>
    <row r="227" spans="1:10" x14ac:dyDescent="0.25">
      <c r="A227" t="s">
        <v>637</v>
      </c>
      <c r="B227" s="37" t="s">
        <v>1549</v>
      </c>
      <c r="H227" s="50" t="s">
        <v>745</v>
      </c>
      <c r="I227" s="50" t="s">
        <v>543</v>
      </c>
      <c r="J227" t="str">
        <f>IFERROR(VLOOKUP(Table35[[#This Row],[R&amp;D Tags]],H:H,1,FALSE), " ")</f>
        <v>2-076-FC061_02-X</v>
      </c>
    </row>
    <row r="228" spans="1:10" x14ac:dyDescent="0.25">
      <c r="A228" t="s">
        <v>503</v>
      </c>
      <c r="B228" s="27" t="s">
        <v>1550</v>
      </c>
      <c r="H228" s="50" t="s">
        <v>310</v>
      </c>
      <c r="I228" s="50" t="s">
        <v>527</v>
      </c>
      <c r="J228" t="str">
        <f>IFERROR(VLOOKUP(Table35[[#This Row],[R&amp;D Tags]],H:H,1,FALSE), " ")</f>
        <v>2-076-FC065_01-X</v>
      </c>
    </row>
    <row r="229" spans="1:10" x14ac:dyDescent="0.25">
      <c r="A229" t="s">
        <v>649</v>
      </c>
      <c r="B229" s="33" t="s">
        <v>1551</v>
      </c>
      <c r="H229" s="50" t="s">
        <v>685</v>
      </c>
      <c r="I229" s="50" t="s">
        <v>511</v>
      </c>
      <c r="J229" t="str">
        <f>IFERROR(VLOOKUP(Table35[[#This Row],[R&amp;D Tags]],H:H,1,FALSE), " ")</f>
        <v>2-076-LC021_01-Y</v>
      </c>
    </row>
    <row r="230" spans="1:10" x14ac:dyDescent="0.25">
      <c r="A230" t="s">
        <v>486</v>
      </c>
      <c r="B230" s="30" t="s">
        <v>1551</v>
      </c>
      <c r="H230" s="50" t="s">
        <v>689</v>
      </c>
      <c r="I230" s="50" t="s">
        <v>564</v>
      </c>
      <c r="J230" t="str">
        <f>IFERROR(VLOOKUP(Table35[[#This Row],[R&amp;D Tags]],H:H,1,FALSE), " ")</f>
        <v>2-076-LC030_01-X</v>
      </c>
    </row>
    <row r="231" spans="1:10" x14ac:dyDescent="0.25">
      <c r="A231" t="s">
        <v>519</v>
      </c>
      <c r="B231" s="31" t="s">
        <v>1552</v>
      </c>
      <c r="H231" s="50" t="s">
        <v>689</v>
      </c>
      <c r="I231" s="50" t="s">
        <v>535</v>
      </c>
      <c r="J231" t="str">
        <f>IFERROR(VLOOKUP(Table35[[#This Row],[R&amp;D Tags]],H:H,1,FALSE), " ")</f>
        <v>2-076-LC061_01-X</v>
      </c>
    </row>
    <row r="232" spans="1:10" x14ac:dyDescent="0.25">
      <c r="A232" t="s">
        <v>629</v>
      </c>
      <c r="B232" s="31" t="s">
        <v>1553</v>
      </c>
      <c r="H232" s="50" t="s">
        <v>701</v>
      </c>
      <c r="I232" s="50" t="s">
        <v>585</v>
      </c>
      <c r="J232" t="str">
        <f>IFERROR(VLOOKUP(Table35[[#This Row],[R&amp;D Tags]],H:H,1,FALSE), " ")</f>
        <v>2-076-LI050_01-X</v>
      </c>
    </row>
    <row r="233" spans="1:10" x14ac:dyDescent="0.25">
      <c r="A233" t="s">
        <v>523</v>
      </c>
      <c r="B233" s="40" t="s">
        <v>1554</v>
      </c>
      <c r="H233" s="50" t="s">
        <v>709</v>
      </c>
      <c r="I233" s="50" t="s">
        <v>580</v>
      </c>
      <c r="J233" t="str">
        <f>IFERROR(VLOOKUP(Table35[[#This Row],[R&amp;D Tags]],H:H,1,FALSE), " ")</f>
        <v>2-076-PC040_01-X</v>
      </c>
    </row>
    <row r="234" spans="1:10" x14ac:dyDescent="0.25">
      <c r="A234" t="s">
        <v>641</v>
      </c>
      <c r="B234" s="30" t="s">
        <v>1555</v>
      </c>
      <c r="H234" s="50" t="s">
        <v>278</v>
      </c>
      <c r="I234" s="50" t="s">
        <v>597</v>
      </c>
      <c r="J234" t="str">
        <f>IFERROR(VLOOKUP(Table35[[#This Row],[R&amp;D Tags]],H:H,1,FALSE), " ")</f>
        <v>2-076-PC050_01-X</v>
      </c>
    </row>
    <row r="235" spans="1:10" x14ac:dyDescent="0.25">
      <c r="A235" t="s">
        <v>507</v>
      </c>
      <c r="B235" s="27" t="s">
        <v>1555</v>
      </c>
      <c r="H235" s="50" t="s">
        <v>290</v>
      </c>
      <c r="I235" s="50" t="s">
        <v>555</v>
      </c>
      <c r="J235" t="str">
        <f>IFERROR(VLOOKUP(Table35[[#This Row],[R&amp;D Tags]],H:H,1,FALSE), " ")</f>
        <v>2-076-PC070_01-X</v>
      </c>
    </row>
    <row r="236" spans="1:10" x14ac:dyDescent="0.25">
      <c r="A236" t="s">
        <v>568</v>
      </c>
      <c r="B236" s="27" t="s">
        <v>725</v>
      </c>
      <c r="H236" s="50" t="s">
        <v>302</v>
      </c>
      <c r="I236" s="50" t="s">
        <v>551</v>
      </c>
      <c r="J236" t="str">
        <f>IFERROR(VLOOKUP(Table35[[#This Row],[R&amp;D Tags]],H:H,1,FALSE), " ")</f>
        <v>2-076-PI021_01-X</v>
      </c>
    </row>
    <row r="237" spans="1:10" x14ac:dyDescent="0.25">
      <c r="A237" t="s">
        <v>593</v>
      </c>
      <c r="B237" s="27" t="s">
        <v>721</v>
      </c>
      <c r="H237" s="50" t="s">
        <v>681</v>
      </c>
      <c r="I237" s="50" t="s">
        <v>572</v>
      </c>
      <c r="J237" t="str">
        <f>IFERROR(VLOOKUP(Table35[[#This Row],[R&amp;D Tags]],H:H,1,FALSE), " ")</f>
        <v>2-076-PI030_01-X</v>
      </c>
    </row>
    <row r="238" spans="1:10" x14ac:dyDescent="0.25">
      <c r="A238" t="s">
        <v>539</v>
      </c>
      <c r="B238" s="27" t="s">
        <v>733</v>
      </c>
      <c r="H238" s="50" t="s">
        <v>705</v>
      </c>
      <c r="I238" s="50" t="s">
        <v>547</v>
      </c>
      <c r="J238" t="str">
        <f>IFERROR(VLOOKUP(Table35[[#This Row],[R&amp;D Tags]],H:H,1,FALSE), " ")</f>
        <v>2-076-PI061_01-X</v>
      </c>
    </row>
    <row r="239" spans="1:10" x14ac:dyDescent="0.25">
      <c r="A239" t="s">
        <v>543</v>
      </c>
      <c r="B239" s="27" t="s">
        <v>745</v>
      </c>
      <c r="H239" s="50" t="s">
        <v>729</v>
      </c>
      <c r="I239" s="50" t="s">
        <v>531</v>
      </c>
      <c r="J239" t="str">
        <f>IFERROR(VLOOKUP(Table35[[#This Row],[R&amp;D Tags]],H:H,1,FALSE), " ")</f>
        <v>2-076-SCHNECKEN-X</v>
      </c>
    </row>
    <row r="240" spans="1:10" x14ac:dyDescent="0.25">
      <c r="A240" t="s">
        <v>645</v>
      </c>
      <c r="B240" s="27" t="s">
        <v>749</v>
      </c>
      <c r="H240" s="50" t="s">
        <v>741</v>
      </c>
      <c r="I240" s="50" t="s">
        <v>560</v>
      </c>
      <c r="J240" t="str">
        <f>IFERROR(VLOOKUP(Table35[[#This Row],[R&amp;D Tags]],H:H,1,FALSE), " ")</f>
        <v>2-076-TC030_01-X</v>
      </c>
    </row>
    <row r="241" spans="1:10" x14ac:dyDescent="0.25">
      <c r="A241" t="s">
        <v>527</v>
      </c>
      <c r="B241" s="27" t="s">
        <v>310</v>
      </c>
      <c r="H241" s="50" t="s">
        <v>757</v>
      </c>
      <c r="I241" s="50" t="s">
        <v>576</v>
      </c>
      <c r="J241" t="str">
        <f>IFERROR(VLOOKUP(Table35[[#This Row],[R&amp;D Tags]],H:H,1,FALSE), " ")</f>
        <v>2-076-TI040_01-X</v>
      </c>
    </row>
    <row r="242" spans="1:10" x14ac:dyDescent="0.25">
      <c r="A242" t="s">
        <v>494</v>
      </c>
      <c r="B242" s="27" t="s">
        <v>322</v>
      </c>
      <c r="H242" s="50" t="s">
        <v>282</v>
      </c>
      <c r="I242" s="50" t="s">
        <v>589</v>
      </c>
      <c r="J242" t="str">
        <f>IFERROR(VLOOKUP(Table35[[#This Row],[R&amp;D Tags]],H:H,1,FALSE), " ")</f>
        <v>2-076-TI050_01-X</v>
      </c>
    </row>
    <row r="243" spans="1:10" x14ac:dyDescent="0.25">
      <c r="A243" t="s">
        <v>490</v>
      </c>
      <c r="B243" s="27" t="s">
        <v>1556</v>
      </c>
      <c r="H243" s="50" t="s">
        <v>298</v>
      </c>
      <c r="I243" s="50" t="s">
        <v>934</v>
      </c>
      <c r="J243" t="str">
        <f>IFERROR(VLOOKUP(Table35[[#This Row],[R&amp;D Tags]],H:H,1,FALSE), " ")</f>
        <v>2-103-FI050-X</v>
      </c>
    </row>
    <row r="244" spans="1:10" x14ac:dyDescent="0.25">
      <c r="A244" t="s">
        <v>515</v>
      </c>
      <c r="B244" s="27" t="s">
        <v>1557</v>
      </c>
      <c r="H244" s="50" t="s">
        <v>294</v>
      </c>
      <c r="I244" s="50" t="s">
        <v>905</v>
      </c>
      <c r="J244" t="str">
        <f>IFERROR(VLOOKUP(Table35[[#This Row],[R&amp;D Tags]],H:H,1,FALSE), " ")</f>
        <v>2-103-PC084-X</v>
      </c>
    </row>
    <row r="245" spans="1:10" x14ac:dyDescent="0.25">
      <c r="A245" t="s">
        <v>511</v>
      </c>
      <c r="B245" s="27" t="s">
        <v>685</v>
      </c>
      <c r="H245" s="50" t="s">
        <v>318</v>
      </c>
      <c r="I245" s="50" t="s">
        <v>661</v>
      </c>
      <c r="J245" t="str">
        <f>IFERROR(VLOOKUP(Table35[[#This Row],[R&amp;D Tags]],H:H,1,FALSE), " ")</f>
        <v>2-104-UZ001-D9</v>
      </c>
    </row>
    <row r="246" spans="1:10" x14ac:dyDescent="0.25">
      <c r="A246" t="s">
        <v>564</v>
      </c>
      <c r="B246" s="27" t="s">
        <v>689</v>
      </c>
      <c r="H246" s="50" t="s">
        <v>737</v>
      </c>
      <c r="I246" s="50" t="s">
        <v>921</v>
      </c>
      <c r="J246" t="str">
        <f>IFERROR(VLOOKUP(Table35[[#This Row],[R&amp;D Tags]],H:H,1,FALSE), " ")</f>
        <v>2-146-FI050-X</v>
      </c>
    </row>
    <row r="247" spans="1:10" x14ac:dyDescent="0.25">
      <c r="A247" t="s">
        <v>535</v>
      </c>
      <c r="B247" s="27" t="s">
        <v>689</v>
      </c>
      <c r="H247" s="50" t="s">
        <v>1037</v>
      </c>
      <c r="I247" s="50" t="s">
        <v>869</v>
      </c>
      <c r="J247" t="str">
        <f>IFERROR(VLOOKUP(Table35[[#This Row],[R&amp;D Tags]],H:H,1,FALSE), " ")</f>
        <v>2-199-PI001-X</v>
      </c>
    </row>
    <row r="248" spans="1:10" x14ac:dyDescent="0.25">
      <c r="A248" t="s">
        <v>585</v>
      </c>
      <c r="B248" s="27" t="s">
        <v>701</v>
      </c>
      <c r="H248" s="50" t="s">
        <v>914</v>
      </c>
      <c r="I248" s="50" t="s">
        <v>841</v>
      </c>
      <c r="J248" t="str">
        <f>IFERROR(VLOOKUP(Table35[[#This Row],[R&amp;D Tags]],H:H,1,FALSE), " ")</f>
        <v>2-199-PI064-X</v>
      </c>
    </row>
    <row r="249" spans="1:10" x14ac:dyDescent="0.25">
      <c r="A249" t="s">
        <v>625</v>
      </c>
      <c r="B249" s="27" t="s">
        <v>713</v>
      </c>
      <c r="H249" s="50" t="s">
        <v>918</v>
      </c>
      <c r="I249" s="50" t="s">
        <v>845</v>
      </c>
      <c r="J249" t="str">
        <f>IFERROR(VLOOKUP(Table35[[#This Row],[R&amp;D Tags]],H:H,1,FALSE), " ")</f>
        <v>2-199-PI065-X</v>
      </c>
    </row>
    <row r="250" spans="1:10" x14ac:dyDescent="0.25">
      <c r="A250" t="s">
        <v>580</v>
      </c>
      <c r="B250" s="27" t="s">
        <v>709</v>
      </c>
      <c r="H250" s="50" t="s">
        <v>916</v>
      </c>
      <c r="I250" s="50" t="s">
        <v>853</v>
      </c>
      <c r="J250" t="str">
        <f>IFERROR(VLOOKUP(Table35[[#This Row],[R&amp;D Tags]],H:H,1,FALSE), " ")</f>
        <v>2-199-PI071-X</v>
      </c>
    </row>
    <row r="251" spans="1:10" x14ac:dyDescent="0.25">
      <c r="A251" t="s">
        <v>597</v>
      </c>
      <c r="B251" s="27" t="s">
        <v>278</v>
      </c>
      <c r="H251" s="50" t="s">
        <v>421</v>
      </c>
      <c r="I251" s="50" t="s">
        <v>857</v>
      </c>
      <c r="J251" t="str">
        <f>IFERROR(VLOOKUP(Table35[[#This Row],[R&amp;D Tags]],H:H,1,FALSE), " ")</f>
        <v>2-199-PI072-X</v>
      </c>
    </row>
    <row r="252" spans="1:10" x14ac:dyDescent="0.25">
      <c r="A252" t="s">
        <v>555</v>
      </c>
      <c r="B252" s="27" t="s">
        <v>290</v>
      </c>
      <c r="H252" s="50" t="s">
        <v>413</v>
      </c>
      <c r="I252" s="50" t="s">
        <v>865</v>
      </c>
      <c r="J252" t="str">
        <f>IFERROR(VLOOKUP(Table35[[#This Row],[R&amp;D Tags]],H:H,1,FALSE), " ")</f>
        <v>2-199-PI074-X</v>
      </c>
    </row>
    <row r="253" spans="1:10" x14ac:dyDescent="0.25">
      <c r="A253" t="s">
        <v>551</v>
      </c>
      <c r="B253" s="27" t="s">
        <v>302</v>
      </c>
      <c r="H253" s="50" t="s">
        <v>150</v>
      </c>
      <c r="I253" s="50" t="s">
        <v>669</v>
      </c>
      <c r="J253" t="str">
        <f>IFERROR(VLOOKUP(Table35[[#This Row],[R&amp;D Tags]],H:H,1,FALSE), " ")</f>
        <v>2-204-UZ001-D9</v>
      </c>
    </row>
    <row r="254" spans="1:10" x14ac:dyDescent="0.25">
      <c r="A254" t="s">
        <v>633</v>
      </c>
      <c r="B254" s="27" t="s">
        <v>306</v>
      </c>
      <c r="H254" s="50" t="s">
        <v>150</v>
      </c>
      <c r="I254" s="50" t="s">
        <v>1024</v>
      </c>
      <c r="J254" t="str">
        <f>IFERROR(VLOOKUP(Table35[[#This Row],[R&amp;D Tags]],H:H,1,FALSE), " ")</f>
        <v>2-238-PI090-X</v>
      </c>
    </row>
    <row r="255" spans="1:10" x14ac:dyDescent="0.25">
      <c r="A255" t="s">
        <v>572</v>
      </c>
      <c r="B255" s="27" t="s">
        <v>681</v>
      </c>
      <c r="H255" s="50" t="s">
        <v>425</v>
      </c>
      <c r="I255" s="50" t="s">
        <v>925</v>
      </c>
      <c r="J255" t="str">
        <f>IFERROR(VLOOKUP(Table35[[#This Row],[R&amp;D Tags]],H:H,1,FALSE), " ")</f>
        <v>2-246-FI050-X</v>
      </c>
    </row>
    <row r="256" spans="1:10" x14ac:dyDescent="0.25">
      <c r="A256" t="s">
        <v>653</v>
      </c>
      <c r="B256" s="27" t="s">
        <v>693</v>
      </c>
      <c r="H256" s="50" t="s">
        <v>417</v>
      </c>
      <c r="I256" s="50" t="s">
        <v>929</v>
      </c>
      <c r="J256" t="str">
        <f>IFERROR(VLOOKUP(Table35[[#This Row],[R&amp;D Tags]],H:H,1,FALSE), " ")</f>
        <v>2-346-FI050-X</v>
      </c>
    </row>
    <row r="257" spans="1:10" x14ac:dyDescent="0.25">
      <c r="A257" t="s">
        <v>547</v>
      </c>
      <c r="B257" s="27" t="s">
        <v>705</v>
      </c>
      <c r="H257" s="50" t="s">
        <v>605</v>
      </c>
      <c r="I257" s="50" t="s">
        <v>829</v>
      </c>
      <c r="J257" t="str">
        <f>IFERROR(VLOOKUP(Table35[[#This Row],[R&amp;D Tags]],H:H,1,FALSE), " ")</f>
        <v>2-404-NC011-X</v>
      </c>
    </row>
    <row r="258" spans="1:10" x14ac:dyDescent="0.25">
      <c r="A258" t="s">
        <v>401</v>
      </c>
      <c r="B258" s="27" t="s">
        <v>717</v>
      </c>
      <c r="H258" s="50" t="s">
        <v>617</v>
      </c>
      <c r="I258" s="50" t="s">
        <v>833</v>
      </c>
      <c r="J258" t="str">
        <f>IFERROR(VLOOKUP(Table35[[#This Row],[R&amp;D Tags]],H:H,1,FALSE), " ")</f>
        <v>2-404-NI010-X</v>
      </c>
    </row>
    <row r="259" spans="1:10" x14ac:dyDescent="0.25">
      <c r="A259" t="s">
        <v>531</v>
      </c>
      <c r="B259" s="27" t="s">
        <v>729</v>
      </c>
      <c r="H259" s="50" t="s">
        <v>445</v>
      </c>
      <c r="I259" s="50" t="s">
        <v>677</v>
      </c>
      <c r="J259" t="str">
        <f>IFERROR(VLOOKUP(Table35[[#This Row],[R&amp;D Tags]],H:H,1,FALSE), " ")</f>
        <v>2-404-UZ001-O</v>
      </c>
    </row>
    <row r="260" spans="1:10" x14ac:dyDescent="0.25">
      <c r="A260" t="s">
        <v>560</v>
      </c>
      <c r="B260" s="27" t="s">
        <v>741</v>
      </c>
      <c r="H260" s="50" t="s">
        <v>447</v>
      </c>
      <c r="I260" s="50" t="s">
        <v>877</v>
      </c>
      <c r="J260" t="str">
        <f>IFERROR(VLOOKUP(Table35[[#This Row],[R&amp;D Tags]],H:H,1,FALSE), " ")</f>
        <v>2-404-UZ001-U</v>
      </c>
    </row>
    <row r="261" spans="1:10" x14ac:dyDescent="0.25">
      <c r="A261" t="s">
        <v>576</v>
      </c>
      <c r="B261" s="27" t="s">
        <v>757</v>
      </c>
      <c r="H261" s="50" t="s">
        <v>609</v>
      </c>
      <c r="I261" s="50" t="s">
        <v>376</v>
      </c>
      <c r="J261" t="str">
        <f>IFERROR(VLOOKUP(Table35[[#This Row],[R&amp;D Tags]],H:H,1,FALSE), " ")</f>
        <v>2-504-UZ001-O</v>
      </c>
    </row>
    <row r="262" spans="1:10" x14ac:dyDescent="0.25">
      <c r="A262" t="s">
        <v>589</v>
      </c>
      <c r="B262" s="27" t="s">
        <v>282</v>
      </c>
      <c r="H262" s="50" t="s">
        <v>621</v>
      </c>
      <c r="I262" s="50" t="s">
        <v>881</v>
      </c>
      <c r="J262" t="str">
        <f>IFERROR(VLOOKUP(Table35[[#This Row],[R&amp;D Tags]],H:H,1,FALSE), " ")</f>
        <v>2-504-UZ001-U</v>
      </c>
    </row>
    <row r="263" spans="1:10" x14ac:dyDescent="0.25">
      <c r="A263" t="s">
        <v>934</v>
      </c>
      <c r="B263" s="27" t="s">
        <v>298</v>
      </c>
      <c r="H263" s="50" t="s">
        <v>465</v>
      </c>
      <c r="I263" s="50" t="s">
        <v>368</v>
      </c>
      <c r="J263" t="str">
        <f>IFERROR(VLOOKUP(Table35[[#This Row],[R&amp;D Tags]],H:H,1,FALSE), " ")</f>
        <v>2-604-NI010-X</v>
      </c>
    </row>
    <row r="264" spans="1:10" x14ac:dyDescent="0.25">
      <c r="A264" t="s">
        <v>905</v>
      </c>
      <c r="B264" s="27" t="s">
        <v>294</v>
      </c>
      <c r="H264" s="50" t="s">
        <v>477</v>
      </c>
      <c r="I264" s="50" t="s">
        <v>326</v>
      </c>
      <c r="J264" t="str">
        <f>IFERROR(VLOOKUP(Table35[[#This Row],[R&amp;D Tags]],H:H,1,FALSE), " ")</f>
        <v>2-604-UZ001-D9</v>
      </c>
    </row>
    <row r="265" spans="1:10" x14ac:dyDescent="0.25">
      <c r="A265" t="s">
        <v>817</v>
      </c>
      <c r="B265" s="27" t="s">
        <v>314</v>
      </c>
      <c r="H265" s="50" t="s">
        <v>388</v>
      </c>
      <c r="I265" s="50" t="s">
        <v>260</v>
      </c>
      <c r="J265" t="str">
        <f>IFERROR(VLOOKUP(Table35[[#This Row],[R&amp;D Tags]],H:H,1,FALSE), " ")</f>
        <v>2-604-UZ001-O</v>
      </c>
    </row>
    <row r="266" spans="1:10" x14ac:dyDescent="0.25">
      <c r="A266" t="s">
        <v>661</v>
      </c>
      <c r="B266" s="27" t="s">
        <v>318</v>
      </c>
      <c r="H266" s="50" t="s">
        <v>405</v>
      </c>
      <c r="I266" s="50" t="s">
        <v>364</v>
      </c>
      <c r="J266" t="str">
        <f>IFERROR(VLOOKUP(Table35[[#This Row],[R&amp;D Tags]],H:H,1,FALSE), " ")</f>
        <v>2-704-NI011-X</v>
      </c>
    </row>
    <row r="267" spans="1:10" x14ac:dyDescent="0.25">
      <c r="A267" t="s">
        <v>921</v>
      </c>
      <c r="B267" s="27" t="s">
        <v>737</v>
      </c>
      <c r="H267" s="50" t="s">
        <v>601</v>
      </c>
      <c r="I267" s="50" t="s">
        <v>372</v>
      </c>
      <c r="J267" t="str">
        <f>IFERROR(VLOOKUP(Table35[[#This Row],[R&amp;D Tags]],H:H,1,FALSE), " ")</f>
        <v>2-704-UZ001-O</v>
      </c>
    </row>
    <row r="268" spans="1:10" x14ac:dyDescent="0.25">
      <c r="A268" t="s">
        <v>869</v>
      </c>
      <c r="B268" s="27" t="s">
        <v>1037</v>
      </c>
      <c r="H268" s="50" t="s">
        <v>613</v>
      </c>
      <c r="I268" s="50" t="s">
        <v>268</v>
      </c>
      <c r="J268" t="str">
        <f>IFERROR(VLOOKUP(Table35[[#This Row],[R&amp;D Tags]],H:H,1,FALSE), " ")</f>
        <v>2-704-UZ001-U</v>
      </c>
    </row>
    <row r="269" spans="1:10" x14ac:dyDescent="0.25">
      <c r="A269" t="s">
        <v>873</v>
      </c>
      <c r="B269" s="27" t="s">
        <v>1558</v>
      </c>
      <c r="H269" s="50" t="s">
        <v>264</v>
      </c>
      <c r="I269" s="50" t="s">
        <v>1209</v>
      </c>
      <c r="J269" t="str">
        <f>IFERROR(VLOOKUP(Table35[[#This Row],[R&amp;D Tags]],H:H,1,FALSE), " ")</f>
        <v>FC031.03-TROCKENAUSSCHUSS</v>
      </c>
    </row>
    <row r="270" spans="1:10" x14ac:dyDescent="0.25">
      <c r="A270" t="s">
        <v>841</v>
      </c>
      <c r="B270" s="27" t="s">
        <v>914</v>
      </c>
      <c r="H270" s="50" t="s">
        <v>461</v>
      </c>
      <c r="I270" s="50" t="s">
        <v>252</v>
      </c>
      <c r="J270" t="str">
        <f>IFERROR(VLOOKUP(Table35[[#This Row],[R&amp;D Tags]],H:H,1,FALSE), " ")</f>
        <v>GMC_A4_G1LBE20CF702_WF</v>
      </c>
    </row>
    <row r="271" spans="1:10" x14ac:dyDescent="0.25">
      <c r="A271" t="s">
        <v>845</v>
      </c>
      <c r="B271" s="27" t="s">
        <v>918</v>
      </c>
      <c r="H271" s="50" t="s">
        <v>469</v>
      </c>
      <c r="I271" s="50" t="s">
        <v>13</v>
      </c>
      <c r="J271" t="str">
        <f>IFERROR(VLOOKUP(Table35[[#This Row],[R&amp;D Tags]],H:H,1,FALSE), " ")</f>
        <v>GRADE_NAME</v>
      </c>
    </row>
    <row r="272" spans="1:10" x14ac:dyDescent="0.25">
      <c r="A272" t="s">
        <v>849</v>
      </c>
      <c r="B272" s="27" t="s">
        <v>1559</v>
      </c>
      <c r="H272" s="50" t="s">
        <v>380</v>
      </c>
      <c r="I272" s="50" t="s">
        <v>893</v>
      </c>
      <c r="J272" t="str">
        <f>IFERROR(VLOOKUP(Table35[[#This Row],[R&amp;D Tags]],H:H,1,FALSE), " ")</f>
        <v>PM1_2-103-PI090-X</v>
      </c>
    </row>
    <row r="273" spans="1:10" x14ac:dyDescent="0.25">
      <c r="A273" t="s">
        <v>853</v>
      </c>
      <c r="B273" s="27" t="s">
        <v>916</v>
      </c>
      <c r="H273" s="50" t="s">
        <v>457</v>
      </c>
      <c r="I273" s="50" t="s">
        <v>996</v>
      </c>
      <c r="J273" t="str">
        <f>IFERROR(VLOOKUP(Table35[[#This Row],[R&amp;D Tags]],H:H,1,FALSE), " ")</f>
        <v>PM1_2-138-FI092-X</v>
      </c>
    </row>
    <row r="274" spans="1:10" x14ac:dyDescent="0.25">
      <c r="A274" t="s">
        <v>857</v>
      </c>
      <c r="B274" s="27" t="s">
        <v>421</v>
      </c>
      <c r="H274" s="50" t="s">
        <v>473</v>
      </c>
      <c r="I274" s="50" t="s">
        <v>992</v>
      </c>
      <c r="J274" t="str">
        <f>IFERROR(VLOOKUP(Table35[[#This Row],[R&amp;D Tags]],H:H,1,FALSE), " ")</f>
        <v>PM1_2-138-FI094-X</v>
      </c>
    </row>
    <row r="275" spans="1:10" x14ac:dyDescent="0.25">
      <c r="A275" t="s">
        <v>861</v>
      </c>
      <c r="B275" s="27" t="s">
        <v>1560</v>
      </c>
      <c r="H275" s="50" t="s">
        <v>777</v>
      </c>
      <c r="I275" s="50" t="s">
        <v>1000</v>
      </c>
      <c r="J275" t="str">
        <f>IFERROR(VLOOKUP(Table35[[#This Row],[R&amp;D Tags]],H:H,1,FALSE), " ")</f>
        <v>PM1_2-138-FI096-X</v>
      </c>
    </row>
    <row r="276" spans="1:10" x14ac:dyDescent="0.25">
      <c r="A276" t="s">
        <v>865</v>
      </c>
      <c r="B276" s="27" t="s">
        <v>413</v>
      </c>
      <c r="H276" s="50" t="s">
        <v>789</v>
      </c>
      <c r="I276" s="50" t="s">
        <v>980</v>
      </c>
      <c r="J276" t="str">
        <f>IFERROR(VLOOKUP(Table35[[#This Row],[R&amp;D Tags]],H:H,1,FALSE), " ")</f>
        <v>PM1_2-138-PC093-X</v>
      </c>
    </row>
    <row r="277" spans="1:10" x14ac:dyDescent="0.25">
      <c r="A277" t="s">
        <v>909</v>
      </c>
      <c r="B277" s="27" t="s">
        <v>1561</v>
      </c>
      <c r="H277" s="50" t="s">
        <v>340</v>
      </c>
      <c r="I277" s="50" t="s">
        <v>984</v>
      </c>
      <c r="J277" t="str">
        <f>IFERROR(VLOOKUP(Table35[[#This Row],[R&amp;D Tags]],H:H,1,FALSE), " ")</f>
        <v>PM1_2-138-PC095-X</v>
      </c>
    </row>
    <row r="278" spans="1:10" x14ac:dyDescent="0.25">
      <c r="A278" t="s">
        <v>821</v>
      </c>
      <c r="B278" s="27" t="s">
        <v>437</v>
      </c>
      <c r="H278" s="50" t="s">
        <v>769</v>
      </c>
      <c r="I278" s="50" t="s">
        <v>938</v>
      </c>
      <c r="J278" t="str">
        <f>IFERROR(VLOOKUP(Table35[[#This Row],[R&amp;D Tags]],H:H,1,FALSE), " ")</f>
        <v>PM1_2-146-YP043_01-X</v>
      </c>
    </row>
    <row r="279" spans="1:10" x14ac:dyDescent="0.25">
      <c r="A279" t="s">
        <v>669</v>
      </c>
      <c r="B279" s="31" t="s">
        <v>150</v>
      </c>
      <c r="H279" s="50" t="s">
        <v>350</v>
      </c>
      <c r="I279" s="50" t="s">
        <v>946</v>
      </c>
      <c r="J279" t="str">
        <f>IFERROR(VLOOKUP(Table35[[#This Row],[R&amp;D Tags]],H:H,1,FALSE), " ")</f>
        <v>PM1_2-146-YP043_02-X</v>
      </c>
    </row>
    <row r="280" spans="1:10" x14ac:dyDescent="0.25">
      <c r="A280" t="s">
        <v>1024</v>
      </c>
      <c r="B280" s="31" t="s">
        <v>150</v>
      </c>
      <c r="H280" s="50" t="s">
        <v>453</v>
      </c>
      <c r="I280" s="50" t="s">
        <v>988</v>
      </c>
      <c r="J280" t="str">
        <f>IFERROR(VLOOKUP(Table35[[#This Row],[R&amp;D Tags]],H:H,1,FALSE), " ")</f>
        <v>PM1_2-238-PC092-X</v>
      </c>
    </row>
    <row r="281" spans="1:10" ht="45" x14ac:dyDescent="0.25">
      <c r="A281" t="s">
        <v>885</v>
      </c>
      <c r="B281" s="27" t="s">
        <v>1562</v>
      </c>
      <c r="H281" s="50" t="s">
        <v>781</v>
      </c>
      <c r="I281" s="50" t="s">
        <v>1008</v>
      </c>
      <c r="J281" t="str">
        <f>IFERROR(VLOOKUP(Table35[[#This Row],[R&amp;D Tags]],H:H,1,FALSE), " ")</f>
        <v>PM1_2-238-PC093-X</v>
      </c>
    </row>
    <row r="282" spans="1:10" x14ac:dyDescent="0.25">
      <c r="A282" t="s">
        <v>925</v>
      </c>
      <c r="B282" s="27" t="s">
        <v>425</v>
      </c>
      <c r="H282" s="50" t="s">
        <v>793</v>
      </c>
      <c r="I282" s="50" t="s">
        <v>1012</v>
      </c>
      <c r="J282" t="str">
        <f>IFERROR(VLOOKUP(Table35[[#This Row],[R&amp;D Tags]],H:H,1,FALSE), " ")</f>
        <v>PM1_2-238-PC094-X</v>
      </c>
    </row>
    <row r="283" spans="1:10" ht="45" x14ac:dyDescent="0.25">
      <c r="A283" t="s">
        <v>673</v>
      </c>
      <c r="B283" s="27" t="s">
        <v>1563</v>
      </c>
      <c r="H283" s="50" t="s">
        <v>809</v>
      </c>
      <c r="I283" s="50" t="s">
        <v>1004</v>
      </c>
      <c r="J283" t="str">
        <f>IFERROR(VLOOKUP(Table35[[#This Row],[R&amp;D Tags]],H:H,1,FALSE), " ")</f>
        <v>PM1_2-238-PC095-X</v>
      </c>
    </row>
    <row r="284" spans="1:10" x14ac:dyDescent="0.25">
      <c r="A284" t="s">
        <v>929</v>
      </c>
      <c r="B284" s="27" t="s">
        <v>417</v>
      </c>
      <c r="H284" s="50" t="s">
        <v>273</v>
      </c>
      <c r="I284" s="50" t="s">
        <v>1016</v>
      </c>
      <c r="J284" t="str">
        <f>IFERROR(VLOOKUP(Table35[[#This Row],[R&amp;D Tags]],H:H,1,FALSE), " ")</f>
        <v>PM1_2-238-PC096-X</v>
      </c>
    </row>
    <row r="285" spans="1:10" x14ac:dyDescent="0.25">
      <c r="A285" t="s">
        <v>829</v>
      </c>
      <c r="B285" s="27" t="s">
        <v>605</v>
      </c>
      <c r="H285" s="50" t="s">
        <v>286</v>
      </c>
      <c r="I285" s="50" t="s">
        <v>1020</v>
      </c>
      <c r="J285" t="str">
        <f>IFERROR(VLOOKUP(Table35[[#This Row],[R&amp;D Tags]],H:H,1,FALSE), " ")</f>
        <v>PM1_2-238-PC097-X</v>
      </c>
    </row>
    <row r="286" spans="1:10" x14ac:dyDescent="0.25">
      <c r="A286" t="s">
        <v>833</v>
      </c>
      <c r="B286" s="27" t="s">
        <v>617</v>
      </c>
      <c r="H286" s="50" t="s">
        <v>449</v>
      </c>
      <c r="I286" s="50" t="s">
        <v>1028</v>
      </c>
      <c r="J286" t="str">
        <f>IFERROR(VLOOKUP(Table35[[#This Row],[R&amp;D Tags]],H:H,1,FALSE), " ")</f>
        <v>PM1_2-238-PI091-X</v>
      </c>
    </row>
    <row r="287" spans="1:10" x14ac:dyDescent="0.25">
      <c r="A287" t="s">
        <v>677</v>
      </c>
      <c r="B287" s="27" t="s">
        <v>445</v>
      </c>
      <c r="H287" s="50" t="s">
        <v>785</v>
      </c>
      <c r="I287" s="50" t="s">
        <v>942</v>
      </c>
      <c r="J287" t="str">
        <f>IFERROR(VLOOKUP(Table35[[#This Row],[R&amp;D Tags]],H:H,1,FALSE), " ")</f>
        <v>PM1_2-246-YP043_01-X</v>
      </c>
    </row>
    <row r="288" spans="1:10" x14ac:dyDescent="0.25">
      <c r="A288" t="s">
        <v>877</v>
      </c>
      <c r="B288" s="27" t="s">
        <v>447</v>
      </c>
      <c r="H288" s="50" t="s">
        <v>801</v>
      </c>
      <c r="I288" s="50" t="s">
        <v>950</v>
      </c>
      <c r="J288" t="str">
        <f>IFERROR(VLOOKUP(Table35[[#This Row],[R&amp;D Tags]],H:H,1,FALSE), " ")</f>
        <v>PM1_2-246-YP043_02-X</v>
      </c>
    </row>
    <row r="289" spans="1:10" x14ac:dyDescent="0.25">
      <c r="A289" t="s">
        <v>825</v>
      </c>
      <c r="B289" s="27" t="s">
        <v>1564</v>
      </c>
      <c r="H289" s="50" t="s">
        <v>345</v>
      </c>
      <c r="I289" s="50" t="s">
        <v>954</v>
      </c>
      <c r="J289" t="str">
        <f>IFERROR(VLOOKUP(Table35[[#This Row],[R&amp;D Tags]],H:H,1,FALSE), " ")</f>
        <v>PM1_2-346-YP043-X</v>
      </c>
    </row>
    <row r="290" spans="1:10" x14ac:dyDescent="0.25">
      <c r="A290" t="s">
        <v>837</v>
      </c>
      <c r="B290" s="27" t="s">
        <v>1565</v>
      </c>
      <c r="H290" s="50" t="s">
        <v>111</v>
      </c>
      <c r="I290" s="50" t="s">
        <v>59</v>
      </c>
      <c r="J290" t="str">
        <f>IFERROR(VLOOKUP(Table35[[#This Row],[R&amp;D Tags]],H:H,1,FALSE), " ")</f>
        <v>PRODUCTION-RATE</v>
      </c>
    </row>
    <row r="291" spans="1:10" x14ac:dyDescent="0.25">
      <c r="A291" t="s">
        <v>376</v>
      </c>
      <c r="B291" s="27" t="s">
        <v>609</v>
      </c>
      <c r="H291" s="50" t="s">
        <v>116</v>
      </c>
      <c r="I291" s="50" t="s">
        <v>68</v>
      </c>
      <c r="J291" t="str">
        <f>IFERROR(VLOOKUP(Table35[[#This Row],[R&amp;D Tags]],H:H,1,FALSE), " ")</f>
        <v>QLS-REEL-MOISTURE1-CUR</v>
      </c>
    </row>
    <row r="292" spans="1:10" x14ac:dyDescent="0.25">
      <c r="A292" t="s">
        <v>881</v>
      </c>
      <c r="B292" s="27" t="s">
        <v>621</v>
      </c>
      <c r="H292" s="50" t="s">
        <v>93</v>
      </c>
      <c r="I292" s="50" t="s">
        <v>51</v>
      </c>
      <c r="J292" t="str">
        <f>IFERROR(VLOOKUP(Table35[[#This Row],[R&amp;D Tags]],H:H,1,FALSE), " ")</f>
        <v>QLS-REEL-WIDTH-CUR</v>
      </c>
    </row>
    <row r="293" spans="1:10" x14ac:dyDescent="0.25">
      <c r="A293" t="s">
        <v>368</v>
      </c>
      <c r="B293" s="27" t="s">
        <v>465</v>
      </c>
      <c r="H293" s="50" t="s">
        <v>98</v>
      </c>
      <c r="I293" s="50" t="s">
        <v>1240</v>
      </c>
      <c r="J293" t="str">
        <f>IFERROR(VLOOKUP(Table35[[#This Row],[R&amp;D Tags]],H:H,1,FALSE), " ")</f>
        <v>QMS11_2-008-QC041.05.01-X</v>
      </c>
    </row>
    <row r="294" spans="1:10" x14ac:dyDescent="0.25">
      <c r="A294" t="s">
        <v>326</v>
      </c>
      <c r="B294" s="27" t="s">
        <v>477</v>
      </c>
      <c r="H294" s="50" t="s">
        <v>499</v>
      </c>
      <c r="I294" s="50" t="s">
        <v>805</v>
      </c>
      <c r="J294" t="str">
        <f>IFERROR(VLOOKUP(Table35[[#This Row],[R&amp;D Tags]],H:H,1,FALSE), " ")</f>
        <v>QMS11_2-044-MC333-W</v>
      </c>
    </row>
    <row r="295" spans="1:10" x14ac:dyDescent="0.25">
      <c r="A295" t="s">
        <v>260</v>
      </c>
      <c r="B295" s="27" t="s">
        <v>388</v>
      </c>
      <c r="H295" s="50" t="s">
        <v>503</v>
      </c>
      <c r="I295" s="50" t="s">
        <v>773</v>
      </c>
      <c r="J295" t="str">
        <f>IFERROR(VLOOKUP(Table35[[#This Row],[R&amp;D Tags]],H:H,1,FALSE), " ")</f>
        <v>QMS11_2-044-V111-N1</v>
      </c>
    </row>
    <row r="296" spans="1:10" x14ac:dyDescent="0.25">
      <c r="A296" t="s">
        <v>364</v>
      </c>
      <c r="B296" s="27" t="s">
        <v>405</v>
      </c>
      <c r="H296" s="50" t="s">
        <v>486</v>
      </c>
      <c r="I296" s="50" t="s">
        <v>359</v>
      </c>
      <c r="J296" t="str">
        <f>IFERROR(VLOOKUP(Table35[[#This Row],[R&amp;D Tags]],H:H,1,FALSE), " ")</f>
        <v>QMS11_2-044-V411-N_FU</v>
      </c>
    </row>
    <row r="297" spans="1:10" x14ac:dyDescent="0.25">
      <c r="A297" t="s">
        <v>372</v>
      </c>
      <c r="B297" s="27" t="s">
        <v>601</v>
      </c>
      <c r="H297" s="50" t="s">
        <v>519</v>
      </c>
      <c r="I297" s="50" t="s">
        <v>889</v>
      </c>
      <c r="J297" t="str">
        <f>IFERROR(VLOOKUP(Table35[[#This Row],[R&amp;D Tags]],H:H,1,FALSE), " ")</f>
        <v>QMS11_2-103-NC071-X</v>
      </c>
    </row>
    <row r="298" spans="1:10" x14ac:dyDescent="0.25">
      <c r="A298" t="s">
        <v>268</v>
      </c>
      <c r="B298" s="27" t="s">
        <v>613</v>
      </c>
      <c r="H298" s="50" t="s">
        <v>523</v>
      </c>
      <c r="I298" s="50" t="s">
        <v>970</v>
      </c>
      <c r="J298" t="str">
        <f>IFERROR(VLOOKUP(Table35[[#This Row],[R&amp;D Tags]],H:H,1,FALSE), " ")</f>
        <v>QMS11_2-203-NC071-X</v>
      </c>
    </row>
    <row r="299" spans="1:10" x14ac:dyDescent="0.25">
      <c r="A299" t="s">
        <v>1224</v>
      </c>
      <c r="B299" s="27" t="s">
        <v>1566</v>
      </c>
      <c r="H299" s="50" t="s">
        <v>507</v>
      </c>
      <c r="I299" s="50" t="s">
        <v>966</v>
      </c>
      <c r="J299" t="str">
        <f>IFERROR(VLOOKUP(Table35[[#This Row],[R&amp;D Tags]],H:H,1,FALSE), " ")</f>
        <v>QMS11_2-303-NC071-X</v>
      </c>
    </row>
    <row r="300" spans="1:10" x14ac:dyDescent="0.25">
      <c r="A300" t="s">
        <v>1209</v>
      </c>
      <c r="B300" s="27" t="s">
        <v>264</v>
      </c>
      <c r="H300" s="50" t="s">
        <v>593</v>
      </c>
      <c r="I300" s="50" t="s">
        <v>753</v>
      </c>
      <c r="J300" t="str">
        <f>IFERROR(VLOOKUP(Table35[[#This Row],[R&amp;D Tags]],H:H,1,FALSE), " ")</f>
        <v>QMS11_MIC_MSTSCN2-X1</v>
      </c>
    </row>
    <row r="301" spans="1:10" x14ac:dyDescent="0.25">
      <c r="A301" t="s">
        <v>974</v>
      </c>
      <c r="B301" s="27" t="s">
        <v>264</v>
      </c>
      <c r="H301" s="50" t="s">
        <v>490</v>
      </c>
      <c r="I301" s="50" t="s">
        <v>9</v>
      </c>
      <c r="J301" t="str">
        <f>IFERROR(VLOOKUP(Table35[[#This Row],[R&amp;D Tags]],H:H,1,FALSE), " ")</f>
        <v>QO-REEL-ID-CUR-CALC</v>
      </c>
    </row>
    <row r="302" spans="1:10" x14ac:dyDescent="0.25">
      <c r="A302" t="s">
        <v>256</v>
      </c>
      <c r="B302" s="27" t="s">
        <v>1567</v>
      </c>
      <c r="H302" s="50" t="s">
        <v>1449</v>
      </c>
      <c r="I302" s="51" t="s">
        <v>1303</v>
      </c>
      <c r="J302" t="str">
        <f>IFERROR(VLOOKUP(Table35[[#This Row],[R&amp;D Tags]],H:H,1,FALSE), " ")</f>
        <v xml:space="preserve"> </v>
      </c>
    </row>
    <row r="303" spans="1:10" x14ac:dyDescent="0.25">
      <c r="A303" t="s">
        <v>252</v>
      </c>
      <c r="B303" s="27" t="s">
        <v>461</v>
      </c>
      <c r="H303" s="50" t="s">
        <v>1485</v>
      </c>
      <c r="I303" s="51" t="s">
        <v>139</v>
      </c>
      <c r="J303" t="str">
        <f>IFERROR(VLOOKUP(Table35[[#This Row],[R&amp;D Tags]],H:H,1,FALSE), " ")</f>
        <v xml:space="preserve"> </v>
      </c>
    </row>
    <row r="304" spans="1:10" x14ac:dyDescent="0.25">
      <c r="A304" t="s">
        <v>13</v>
      </c>
      <c r="B304" s="27" t="s">
        <v>469</v>
      </c>
      <c r="H304" s="50" t="s">
        <v>1490</v>
      </c>
      <c r="I304" s="51" t="s">
        <v>128</v>
      </c>
      <c r="J304" t="str">
        <f>IFERROR(VLOOKUP(Table35[[#This Row],[R&amp;D Tags]],H:H,1,FALSE), " ")</f>
        <v xml:space="preserve"> </v>
      </c>
    </row>
    <row r="305" spans="1:10" x14ac:dyDescent="0.25">
      <c r="A305" t="s">
        <v>1427</v>
      </c>
      <c r="B305" s="27" t="s">
        <v>384</v>
      </c>
      <c r="H305" s="50" t="s">
        <v>1502</v>
      </c>
      <c r="I305" s="51" t="s">
        <v>1433</v>
      </c>
      <c r="J305" t="str">
        <f>IFERROR(VLOOKUP(Table35[[#This Row],[R&amp;D Tags]],H:H,1,FALSE), " ")</f>
        <v xml:space="preserve"> </v>
      </c>
    </row>
    <row r="306" spans="1:10" x14ac:dyDescent="0.25">
      <c r="A306" t="s">
        <v>893</v>
      </c>
      <c r="B306" s="27" t="s">
        <v>380</v>
      </c>
      <c r="H306" s="50" t="s">
        <v>1503</v>
      </c>
      <c r="I306" s="51" t="s">
        <v>1437</v>
      </c>
      <c r="J306" t="str">
        <f>IFERROR(VLOOKUP(Table35[[#This Row],[R&amp;D Tags]],H:H,1,FALSE), " ")</f>
        <v xml:space="preserve"> </v>
      </c>
    </row>
    <row r="307" spans="1:10" x14ac:dyDescent="0.25">
      <c r="A307" t="s">
        <v>897</v>
      </c>
      <c r="B307" s="27" t="s">
        <v>1568</v>
      </c>
      <c r="H307" s="50" t="s">
        <v>1504</v>
      </c>
      <c r="I307" s="51" t="s">
        <v>1441</v>
      </c>
      <c r="J307" t="str">
        <f>IFERROR(VLOOKUP(Table35[[#This Row],[R&amp;D Tags]],H:H,1,FALSE), " ")</f>
        <v xml:space="preserve"> </v>
      </c>
    </row>
    <row r="308" spans="1:10" x14ac:dyDescent="0.25">
      <c r="A308" t="s">
        <v>901</v>
      </c>
      <c r="B308" s="27" t="s">
        <v>1569</v>
      </c>
      <c r="H308" s="50" t="s">
        <v>1522</v>
      </c>
      <c r="I308" s="51" t="s">
        <v>175</v>
      </c>
      <c r="J308" t="str">
        <f>IFERROR(VLOOKUP(Table35[[#This Row],[R&amp;D Tags]],H:H,1,FALSE), " ")</f>
        <v xml:space="preserve"> </v>
      </c>
    </row>
    <row r="309" spans="1:10" x14ac:dyDescent="0.25">
      <c r="A309" t="s">
        <v>996</v>
      </c>
      <c r="B309" s="27" t="s">
        <v>457</v>
      </c>
      <c r="H309" s="50" t="s">
        <v>1524</v>
      </c>
      <c r="I309" s="51" t="s">
        <v>1419</v>
      </c>
      <c r="J309" t="str">
        <f>IFERROR(VLOOKUP(Table35[[#This Row],[R&amp;D Tags]],H:H,1,FALSE), " ")</f>
        <v xml:space="preserve"> </v>
      </c>
    </row>
    <row r="310" spans="1:10" x14ac:dyDescent="0.25">
      <c r="A310" t="s">
        <v>992</v>
      </c>
      <c r="B310" s="27" t="s">
        <v>473</v>
      </c>
      <c r="H310" s="50" t="s">
        <v>1528</v>
      </c>
      <c r="I310" s="51" t="s">
        <v>958</v>
      </c>
      <c r="J310" t="str">
        <f>IFERROR(VLOOKUP(Table35[[#This Row],[R&amp;D Tags]],H:H,1,FALSE), " ")</f>
        <v xml:space="preserve"> </v>
      </c>
    </row>
    <row r="311" spans="1:10" x14ac:dyDescent="0.25">
      <c r="A311" t="s">
        <v>1000</v>
      </c>
      <c r="B311" s="27" t="s">
        <v>777</v>
      </c>
      <c r="H311" s="50" t="s">
        <v>1529</v>
      </c>
      <c r="I311" s="51" t="s">
        <v>962</v>
      </c>
      <c r="J311" t="str">
        <f>IFERROR(VLOOKUP(Table35[[#This Row],[R&amp;D Tags]],H:H,1,FALSE), " ")</f>
        <v xml:space="preserve"> </v>
      </c>
    </row>
    <row r="312" spans="1:10" x14ac:dyDescent="0.25">
      <c r="A312" t="s">
        <v>980</v>
      </c>
      <c r="B312" s="27" t="s">
        <v>789</v>
      </c>
      <c r="H312" s="50" t="s">
        <v>1535</v>
      </c>
      <c r="I312" s="51" t="s">
        <v>433</v>
      </c>
      <c r="J312" t="str">
        <f>IFERROR(VLOOKUP(Table35[[#This Row],[R&amp;D Tags]],H:H,1,FALSE), " ")</f>
        <v xml:space="preserve"> </v>
      </c>
    </row>
    <row r="313" spans="1:10" x14ac:dyDescent="0.25">
      <c r="A313" t="s">
        <v>984</v>
      </c>
      <c r="B313" s="27" t="s">
        <v>340</v>
      </c>
      <c r="H313" s="50" t="s">
        <v>1549</v>
      </c>
      <c r="I313" s="51" t="s">
        <v>637</v>
      </c>
      <c r="J313" t="str">
        <f>IFERROR(VLOOKUP(Table35[[#This Row],[R&amp;D Tags]],H:H,1,FALSE), " ")</f>
        <v xml:space="preserve"> </v>
      </c>
    </row>
    <row r="314" spans="1:10" x14ac:dyDescent="0.25">
      <c r="A314" t="s">
        <v>938</v>
      </c>
      <c r="B314" s="27" t="s">
        <v>769</v>
      </c>
      <c r="H314" s="50" t="s">
        <v>1551</v>
      </c>
      <c r="I314" s="51" t="s">
        <v>649</v>
      </c>
      <c r="J314" t="str">
        <f>IFERROR(VLOOKUP(Table35[[#This Row],[R&amp;D Tags]],H:H,1,FALSE), " ")</f>
        <v xml:space="preserve"> </v>
      </c>
    </row>
    <row r="315" spans="1:10" x14ac:dyDescent="0.25">
      <c r="A315" t="s">
        <v>946</v>
      </c>
      <c r="B315" s="27" t="s">
        <v>350</v>
      </c>
      <c r="H315" s="50" t="s">
        <v>1553</v>
      </c>
      <c r="I315" s="51" t="s">
        <v>629</v>
      </c>
      <c r="J315" t="str">
        <f>IFERROR(VLOOKUP(Table35[[#This Row],[R&amp;D Tags]],H:H,1,FALSE), " ")</f>
        <v xml:space="preserve"> </v>
      </c>
    </row>
    <row r="316" spans="1:10" x14ac:dyDescent="0.25">
      <c r="A316" t="s">
        <v>988</v>
      </c>
      <c r="B316" s="27" t="s">
        <v>453</v>
      </c>
      <c r="H316" s="50" t="s">
        <v>1555</v>
      </c>
      <c r="I316" s="51" t="s">
        <v>641</v>
      </c>
      <c r="J316" t="str">
        <f>IFERROR(VLOOKUP(Table35[[#This Row],[R&amp;D Tags]],H:H,1,FALSE), " ")</f>
        <v xml:space="preserve"> </v>
      </c>
    </row>
    <row r="317" spans="1:10" x14ac:dyDescent="0.25">
      <c r="A317" t="s">
        <v>1008</v>
      </c>
      <c r="B317" s="27" t="s">
        <v>781</v>
      </c>
      <c r="H317" s="50" t="s">
        <v>1571</v>
      </c>
      <c r="I317" s="51" t="s">
        <v>80</v>
      </c>
      <c r="J317" t="str">
        <f>IFERROR(VLOOKUP(Table35[[#This Row],[R&amp;D Tags]],H:H,1,FALSE), " ")</f>
        <v xml:space="preserve"> </v>
      </c>
    </row>
    <row r="318" spans="1:10" x14ac:dyDescent="0.25">
      <c r="A318" t="s">
        <v>1012</v>
      </c>
      <c r="B318" s="27" t="s">
        <v>793</v>
      </c>
      <c r="H318" s="50" t="s">
        <v>1572</v>
      </c>
      <c r="I318" s="51" t="s">
        <v>154</v>
      </c>
      <c r="J318" t="str">
        <f>IFERROR(VLOOKUP(Table35[[#This Row],[R&amp;D Tags]],H:H,1,FALSE), " ")</f>
        <v xml:space="preserve"> </v>
      </c>
    </row>
    <row r="319" spans="1:10" x14ac:dyDescent="0.25">
      <c r="A319" t="s">
        <v>1004</v>
      </c>
      <c r="B319" s="27" t="s">
        <v>809</v>
      </c>
      <c r="H319" s="50" t="s">
        <v>1573</v>
      </c>
      <c r="I319" s="51" t="s">
        <v>77</v>
      </c>
      <c r="J319" t="str">
        <f>IFERROR(VLOOKUP(Table35[[#This Row],[R&amp;D Tags]],H:H,1,FALSE), " ")</f>
        <v xml:space="preserve"> </v>
      </c>
    </row>
    <row r="320" spans="1:10" x14ac:dyDescent="0.25">
      <c r="A320" t="s">
        <v>1016</v>
      </c>
      <c r="B320" s="27" t="s">
        <v>273</v>
      </c>
      <c r="H320" s="50" t="s">
        <v>1574</v>
      </c>
      <c r="I320" s="51" t="s">
        <v>481</v>
      </c>
      <c r="J320" t="str">
        <f>IFERROR(VLOOKUP(Table35[[#This Row],[R&amp;D Tags]],H:H,1,FALSE), " ")</f>
        <v xml:space="preserve"> </v>
      </c>
    </row>
    <row r="321" spans="1:10" x14ac:dyDescent="0.25">
      <c r="A321" t="s">
        <v>1020</v>
      </c>
      <c r="B321" s="27" t="s">
        <v>286</v>
      </c>
      <c r="H321" s="50" t="s">
        <v>1575</v>
      </c>
      <c r="I321" s="51" t="s">
        <v>1395</v>
      </c>
      <c r="J321" t="str">
        <f>IFERROR(VLOOKUP(Table35[[#This Row],[R&amp;D Tags]],H:H,1,FALSE), " ")</f>
        <v xml:space="preserve"> </v>
      </c>
    </row>
    <row r="322" spans="1:10" x14ac:dyDescent="0.25">
      <c r="A322" t="s">
        <v>1028</v>
      </c>
      <c r="B322" s="27" t="s">
        <v>449</v>
      </c>
      <c r="H322" s="50" t="s">
        <v>1576</v>
      </c>
      <c r="I322" s="51" t="s">
        <v>1403</v>
      </c>
      <c r="J322" t="str">
        <f>IFERROR(VLOOKUP(Table35[[#This Row],[R&amp;D Tags]],H:H,1,FALSE), " ")</f>
        <v xml:space="preserve"> </v>
      </c>
    </row>
    <row r="323" spans="1:10" x14ac:dyDescent="0.25">
      <c r="A323" t="s">
        <v>942</v>
      </c>
      <c r="B323" s="27" t="s">
        <v>785</v>
      </c>
      <c r="H323" s="50" t="s">
        <v>1577</v>
      </c>
      <c r="I323" s="51" t="s">
        <v>1399</v>
      </c>
      <c r="J323" t="str">
        <f>IFERROR(VLOOKUP(Table35[[#This Row],[R&amp;D Tags]],H:H,1,FALSE), " ")</f>
        <v xml:space="preserve"> </v>
      </c>
    </row>
    <row r="324" spans="1:10" x14ac:dyDescent="0.25">
      <c r="A324" t="s">
        <v>950</v>
      </c>
      <c r="B324" s="27" t="s">
        <v>801</v>
      </c>
      <c r="H324" s="50" t="s">
        <v>1584</v>
      </c>
      <c r="I324" s="51" t="s">
        <v>29</v>
      </c>
      <c r="J324" t="str">
        <f>IFERROR(VLOOKUP(Table35[[#This Row],[R&amp;D Tags]],H:H,1,FALSE), " ")</f>
        <v xml:space="preserve"> </v>
      </c>
    </row>
    <row r="325" spans="1:10" x14ac:dyDescent="0.25">
      <c r="A325" t="s">
        <v>954</v>
      </c>
      <c r="B325" s="31" t="s">
        <v>345</v>
      </c>
      <c r="H325" s="50" t="s">
        <v>1585</v>
      </c>
      <c r="I325" s="51" t="s">
        <v>409</v>
      </c>
      <c r="J325" t="str">
        <f>IFERROR(VLOOKUP(Table35[[#This Row],[R&amp;D Tags]],H:H,1,FALSE), " ")</f>
        <v xml:space="preserve"> </v>
      </c>
    </row>
    <row r="326" spans="1:10" x14ac:dyDescent="0.25">
      <c r="A326" t="s">
        <v>38</v>
      </c>
      <c r="B326" s="27" t="s">
        <v>1570</v>
      </c>
      <c r="H326" s="50" t="s">
        <v>1587</v>
      </c>
      <c r="J326" t="str">
        <f>IFERROR(VLOOKUP(Table35[[#This Row],[R&amp;D Tags]],H:H,1,FALSE), " ")</f>
        <v xml:space="preserve"> </v>
      </c>
    </row>
    <row r="327" spans="1:10" x14ac:dyDescent="0.25">
      <c r="A327" t="s">
        <v>80</v>
      </c>
      <c r="B327" s="27" t="s">
        <v>1571</v>
      </c>
      <c r="H327" s="50" t="s">
        <v>1588</v>
      </c>
      <c r="J327" t="str">
        <f>IFERROR(VLOOKUP(Table35[[#This Row],[R&amp;D Tags]],H:H,1,FALSE), " ")</f>
        <v xml:space="preserve"> </v>
      </c>
    </row>
    <row r="328" spans="1:10" x14ac:dyDescent="0.25">
      <c r="A328" t="s">
        <v>88</v>
      </c>
      <c r="B328" s="27" t="s">
        <v>103</v>
      </c>
      <c r="H328" s="50" t="s">
        <v>1589</v>
      </c>
      <c r="J328" t="str">
        <f>IFERROR(VLOOKUP(Table35[[#This Row],[R&amp;D Tags]],H:H,1,FALSE), " ")</f>
        <v xml:space="preserve"> </v>
      </c>
    </row>
    <row r="329" spans="1:10" x14ac:dyDescent="0.25">
      <c r="A329" t="s">
        <v>84</v>
      </c>
      <c r="B329" s="27" t="s">
        <v>107</v>
      </c>
      <c r="H329" s="50" t="s">
        <v>1590</v>
      </c>
      <c r="J329" t="str">
        <f>IFERROR(VLOOKUP(Table35[[#This Row],[R&amp;D Tags]],H:H,1,FALSE), " ")</f>
        <v xml:space="preserve"> </v>
      </c>
    </row>
    <row r="330" spans="1:10" x14ac:dyDescent="0.25">
      <c r="A330" t="s">
        <v>59</v>
      </c>
      <c r="B330" s="27" t="s">
        <v>111</v>
      </c>
      <c r="H330" s="50" t="s">
        <v>1591</v>
      </c>
      <c r="J330" t="str">
        <f>IFERROR(VLOOKUP(Table35[[#This Row],[R&amp;D Tags]],H:H,1,FALSE), " ")</f>
        <v xml:space="preserve"> </v>
      </c>
    </row>
    <row r="331" spans="1:10" x14ac:dyDescent="0.25">
      <c r="A331" t="s">
        <v>154</v>
      </c>
      <c r="B331" s="27" t="s">
        <v>1572</v>
      </c>
      <c r="H331" s="50" t="s">
        <v>1592</v>
      </c>
      <c r="J331" t="str">
        <f>IFERROR(VLOOKUP(Table35[[#This Row],[R&amp;D Tags]],H:H,1,FALSE), " ")</f>
        <v xml:space="preserve"> </v>
      </c>
    </row>
    <row r="332" spans="1:10" x14ac:dyDescent="0.25">
      <c r="A332" t="s">
        <v>77</v>
      </c>
      <c r="B332" s="27" t="s">
        <v>1573</v>
      </c>
      <c r="H332" s="50" t="s">
        <v>1593</v>
      </c>
      <c r="J332" t="str">
        <f>IFERROR(VLOOKUP(Table35[[#This Row],[R&amp;D Tags]],H:H,1,FALSE), " ")</f>
        <v xml:space="preserve"> </v>
      </c>
    </row>
    <row r="333" spans="1:10" x14ac:dyDescent="0.25">
      <c r="A333" t="s">
        <v>68</v>
      </c>
      <c r="B333" s="27" t="s">
        <v>116</v>
      </c>
      <c r="H333" s="50" t="s">
        <v>1594</v>
      </c>
      <c r="J333" t="str">
        <f>IFERROR(VLOOKUP(Table35[[#This Row],[R&amp;D Tags]],H:H,1,FALSE), " ")</f>
        <v xml:space="preserve"> </v>
      </c>
    </row>
    <row r="334" spans="1:10" x14ac:dyDescent="0.25">
      <c r="A334" t="s">
        <v>441</v>
      </c>
      <c r="B334" s="27" t="s">
        <v>118</v>
      </c>
      <c r="H334" s="50" t="s">
        <v>1595</v>
      </c>
      <c r="J334" t="str">
        <f>IFERROR(VLOOKUP(Table35[[#This Row],[R&amp;D Tags]],H:H,1,FALSE), " ")</f>
        <v xml:space="preserve"> </v>
      </c>
    </row>
    <row r="335" spans="1:10" x14ac:dyDescent="0.25">
      <c r="A335" t="s">
        <v>51</v>
      </c>
      <c r="B335" s="27" t="s">
        <v>93</v>
      </c>
      <c r="H335" s="50" t="s">
        <v>1596</v>
      </c>
      <c r="J335" t="str">
        <f>IFERROR(VLOOKUP(Table35[[#This Row],[R&amp;D Tags]],H:H,1,FALSE), " ")</f>
        <v xml:space="preserve"> </v>
      </c>
    </row>
    <row r="336" spans="1:10" x14ac:dyDescent="0.25">
      <c r="A336" t="s">
        <v>1240</v>
      </c>
      <c r="B336" s="27" t="s">
        <v>98</v>
      </c>
      <c r="H336" s="50" t="s">
        <v>1597</v>
      </c>
      <c r="J336" t="str">
        <f>IFERROR(VLOOKUP(Table35[[#This Row],[R&amp;D Tags]],H:H,1,FALSE), " ")</f>
        <v xml:space="preserve"> </v>
      </c>
    </row>
    <row r="337" spans="1:10" x14ac:dyDescent="0.25">
      <c r="A337" t="s">
        <v>331</v>
      </c>
      <c r="B337" s="27" t="s">
        <v>120</v>
      </c>
      <c r="H337" s="50" t="s">
        <v>1598</v>
      </c>
      <c r="J337" t="str">
        <f>IFERROR(VLOOKUP(Table35[[#This Row],[R&amp;D Tags]],H:H,1,FALSE), " ")</f>
        <v xml:space="preserve"> </v>
      </c>
    </row>
    <row r="338" spans="1:10" x14ac:dyDescent="0.25">
      <c r="A338" t="s">
        <v>1391</v>
      </c>
      <c r="B338" s="27" t="s">
        <v>124</v>
      </c>
      <c r="H338" s="50" t="s">
        <v>1599</v>
      </c>
      <c r="J338" t="str">
        <f>IFERROR(VLOOKUP(Table35[[#This Row],[R&amp;D Tags]],H:H,1,FALSE), " ")</f>
        <v xml:space="preserve"> </v>
      </c>
    </row>
    <row r="339" spans="1:10" x14ac:dyDescent="0.25">
      <c r="A339" t="s">
        <v>481</v>
      </c>
      <c r="B339" s="31" t="s">
        <v>1574</v>
      </c>
      <c r="H339" s="50" t="s">
        <v>1600</v>
      </c>
      <c r="J339" t="str">
        <f>IFERROR(VLOOKUP(Table35[[#This Row],[R&amp;D Tags]],H:H,1,FALSE), " ")</f>
        <v xml:space="preserve"> </v>
      </c>
    </row>
    <row r="340" spans="1:10" x14ac:dyDescent="0.25">
      <c r="A340" t="s">
        <v>1395</v>
      </c>
      <c r="B340" s="27" t="s">
        <v>1575</v>
      </c>
      <c r="H340" s="50" t="s">
        <v>1601</v>
      </c>
      <c r="J340" t="str">
        <f>IFERROR(VLOOKUP(Table35[[#This Row],[R&amp;D Tags]],H:H,1,FALSE), " ")</f>
        <v xml:space="preserve"> </v>
      </c>
    </row>
    <row r="341" spans="1:10" x14ac:dyDescent="0.25">
      <c r="A341" t="s">
        <v>1403</v>
      </c>
      <c r="B341" s="27" t="s">
        <v>1576</v>
      </c>
      <c r="H341" s="50" t="s">
        <v>1602</v>
      </c>
      <c r="J341" t="str">
        <f>IFERROR(VLOOKUP(Table35[[#This Row],[R&amp;D Tags]],H:H,1,FALSE), " ")</f>
        <v xml:space="preserve"> </v>
      </c>
    </row>
    <row r="342" spans="1:10" x14ac:dyDescent="0.25">
      <c r="A342" t="s">
        <v>1399</v>
      </c>
      <c r="B342" s="27" t="s">
        <v>1577</v>
      </c>
      <c r="H342" s="50" t="s">
        <v>1603</v>
      </c>
      <c r="J342" t="str">
        <f>IFERROR(VLOOKUP(Table35[[#This Row],[R&amp;D Tags]],H:H,1,FALSE), " ")</f>
        <v xml:space="preserve"> </v>
      </c>
    </row>
    <row r="343" spans="1:10" x14ac:dyDescent="0.25">
      <c r="A343" t="s">
        <v>805</v>
      </c>
      <c r="B343" s="27" t="s">
        <v>499</v>
      </c>
      <c r="H343" s="50" t="s">
        <v>1604</v>
      </c>
      <c r="J343" t="str">
        <f>IFERROR(VLOOKUP(Table35[[#This Row],[R&amp;D Tags]],H:H,1,FALSE), " ")</f>
        <v xml:space="preserve"> </v>
      </c>
    </row>
    <row r="344" spans="1:10" x14ac:dyDescent="0.25">
      <c r="A344" t="s">
        <v>336</v>
      </c>
      <c r="B344" s="27" t="s">
        <v>1578</v>
      </c>
      <c r="H344" s="50" t="s">
        <v>1605</v>
      </c>
      <c r="J344" t="str">
        <f>IFERROR(VLOOKUP(Table35[[#This Row],[R&amp;D Tags]],H:H,1,FALSE), " ")</f>
        <v xml:space="preserve"> </v>
      </c>
    </row>
    <row r="345" spans="1:10" x14ac:dyDescent="0.25">
      <c r="A345" t="s">
        <v>773</v>
      </c>
      <c r="B345" s="27" t="s">
        <v>503</v>
      </c>
      <c r="H345" s="50" t="s">
        <v>1606</v>
      </c>
      <c r="J345" t="str">
        <f>IFERROR(VLOOKUP(Table35[[#This Row],[R&amp;D Tags]],H:H,1,FALSE), " ")</f>
        <v xml:space="preserve"> </v>
      </c>
    </row>
    <row r="346" spans="1:10" x14ac:dyDescent="0.25">
      <c r="A346" t="s">
        <v>797</v>
      </c>
      <c r="B346" s="27" t="s">
        <v>1579</v>
      </c>
      <c r="H346" s="50" t="s">
        <v>1607</v>
      </c>
      <c r="J346" t="str">
        <f>IFERROR(VLOOKUP(Table35[[#This Row],[R&amp;D Tags]],H:H,1,FALSE), " ")</f>
        <v xml:space="preserve"> </v>
      </c>
    </row>
    <row r="347" spans="1:10" x14ac:dyDescent="0.25">
      <c r="A347" t="s">
        <v>813</v>
      </c>
      <c r="B347" s="27" t="s">
        <v>1579</v>
      </c>
      <c r="H347" s="50" t="s">
        <v>1608</v>
      </c>
      <c r="J347" t="str">
        <f>IFERROR(VLOOKUP(Table35[[#This Row],[R&amp;D Tags]],H:H,1,FALSE), " ")</f>
        <v xml:space="preserve"> </v>
      </c>
    </row>
    <row r="348" spans="1:10" x14ac:dyDescent="0.25">
      <c r="A348" t="s">
        <v>359</v>
      </c>
      <c r="B348" s="27" t="s">
        <v>486</v>
      </c>
      <c r="H348" s="50" t="s">
        <v>1609</v>
      </c>
      <c r="J348" t="str">
        <f>IFERROR(VLOOKUP(Table35[[#This Row],[R&amp;D Tags]],H:H,1,FALSE), " ")</f>
        <v xml:space="preserve"> </v>
      </c>
    </row>
    <row r="349" spans="1:10" x14ac:dyDescent="0.25">
      <c r="A349" t="s">
        <v>355</v>
      </c>
      <c r="B349" s="27" t="s">
        <v>1580</v>
      </c>
      <c r="H349" s="50" t="s">
        <v>1610</v>
      </c>
      <c r="J349" t="str">
        <f>IFERROR(VLOOKUP(Table35[[#This Row],[R&amp;D Tags]],H:H,1,FALSE), " ")</f>
        <v xml:space="preserve"> </v>
      </c>
    </row>
    <row r="350" spans="1:10" x14ac:dyDescent="0.25">
      <c r="A350" t="s">
        <v>889</v>
      </c>
      <c r="B350" s="27" t="s">
        <v>519</v>
      </c>
      <c r="H350" s="50" t="s">
        <v>1610</v>
      </c>
      <c r="J350" t="str">
        <f>IFERROR(VLOOKUP(Table35[[#This Row],[R&amp;D Tags]],H:H,1,FALSE), " ")</f>
        <v xml:space="preserve"> </v>
      </c>
    </row>
    <row r="351" spans="1:10" x14ac:dyDescent="0.25">
      <c r="A351" t="s">
        <v>1046</v>
      </c>
      <c r="B351" s="27" t="s">
        <v>1581</v>
      </c>
      <c r="H351" s="50" t="s">
        <v>1611</v>
      </c>
      <c r="J351" t="str">
        <f>IFERROR(VLOOKUP(Table35[[#This Row],[R&amp;D Tags]],H:H,1,FALSE), " ")</f>
        <v xml:space="preserve"> </v>
      </c>
    </row>
    <row r="352" spans="1:10" x14ac:dyDescent="0.25">
      <c r="A352" t="s">
        <v>970</v>
      </c>
      <c r="B352" s="27" t="s">
        <v>523</v>
      </c>
      <c r="H352" s="50" t="s">
        <v>1612</v>
      </c>
      <c r="J352" t="str">
        <f>IFERROR(VLOOKUP(Table35[[#This Row],[R&amp;D Tags]],H:H,1,FALSE), " ")</f>
        <v xml:space="preserve"> </v>
      </c>
    </row>
    <row r="353" spans="1:10" x14ac:dyDescent="0.25">
      <c r="A353" t="s">
        <v>976</v>
      </c>
      <c r="B353" s="13" t="s">
        <v>1582</v>
      </c>
      <c r="H353" s="50" t="s">
        <v>1613</v>
      </c>
      <c r="J353" t="str">
        <f>IFERROR(VLOOKUP(Table35[[#This Row],[R&amp;D Tags]],H:H,1,FALSE), " ")</f>
        <v xml:space="preserve"> </v>
      </c>
    </row>
    <row r="354" spans="1:10" x14ac:dyDescent="0.25">
      <c r="A354" t="s">
        <v>966</v>
      </c>
      <c r="B354" s="13" t="s">
        <v>507</v>
      </c>
      <c r="H354" s="50" t="s">
        <v>1614</v>
      </c>
      <c r="J354" t="str">
        <f>IFERROR(VLOOKUP(Table35[[#This Row],[R&amp;D Tags]],H:H,1,FALSE), " ")</f>
        <v xml:space="preserve"> </v>
      </c>
    </row>
    <row r="355" spans="1:10" x14ac:dyDescent="0.25">
      <c r="A355" t="s">
        <v>73</v>
      </c>
      <c r="B355" s="13" t="s">
        <v>568</v>
      </c>
      <c r="H355" s="50" t="s">
        <v>1615</v>
      </c>
      <c r="J355" t="str">
        <f>IFERROR(VLOOKUP(Table35[[#This Row],[R&amp;D Tags]],H:H,1,FALSE), " ")</f>
        <v xml:space="preserve"> </v>
      </c>
    </row>
    <row r="356" spans="1:10" x14ac:dyDescent="0.25">
      <c r="A356" t="s">
        <v>753</v>
      </c>
      <c r="B356" s="13" t="s">
        <v>593</v>
      </c>
      <c r="H356" s="50" t="s">
        <v>1616</v>
      </c>
      <c r="J356" t="str">
        <f>IFERROR(VLOOKUP(Table35[[#This Row],[R&amp;D Tags]],H:H,1,FALSE), " ")</f>
        <v xml:space="preserve"> </v>
      </c>
    </row>
    <row r="357" spans="1:10" x14ac:dyDescent="0.25">
      <c r="A357" t="s">
        <v>64</v>
      </c>
      <c r="B357" s="21" t="s">
        <v>1583</v>
      </c>
      <c r="H357" s="50" t="s">
        <v>1617</v>
      </c>
      <c r="J357" t="str">
        <f>IFERROR(VLOOKUP(Table35[[#This Row],[R&amp;D Tags]],H:H,1,FALSE), " ")</f>
        <v xml:space="preserve"> </v>
      </c>
    </row>
    <row r="358" spans="1:10" x14ac:dyDescent="0.25">
      <c r="A358" t="s">
        <v>25</v>
      </c>
      <c r="B358" s="13" t="s">
        <v>539</v>
      </c>
      <c r="H358" s="50" t="s">
        <v>1618</v>
      </c>
      <c r="J358" t="str">
        <f>IFERROR(VLOOKUP(Table35[[#This Row],[R&amp;D Tags]],H:H,1,FALSE), " ")</f>
        <v xml:space="preserve"> </v>
      </c>
    </row>
    <row r="359" spans="1:10" x14ac:dyDescent="0.25">
      <c r="A359" t="s">
        <v>29</v>
      </c>
      <c r="B359" s="13" t="s">
        <v>1584</v>
      </c>
      <c r="H359" s="50" t="s">
        <v>1619</v>
      </c>
      <c r="J359" t="str">
        <f>IFERROR(VLOOKUP(Table35[[#This Row],[R&amp;D Tags]],H:H,1,FALSE), " ")</f>
        <v xml:space="preserve"> </v>
      </c>
    </row>
    <row r="360" spans="1:10" x14ac:dyDescent="0.25">
      <c r="A360" t="s">
        <v>17</v>
      </c>
      <c r="B360" s="13" t="s">
        <v>543</v>
      </c>
      <c r="H360" s="50" t="s">
        <v>1620</v>
      </c>
      <c r="J360" t="str">
        <f>IFERROR(VLOOKUP(Table35[[#This Row],[R&amp;D Tags]],H:H,1,FALSE), " ")</f>
        <v xml:space="preserve"> </v>
      </c>
    </row>
    <row r="361" spans="1:10" x14ac:dyDescent="0.25">
      <c r="A361" t="s">
        <v>21</v>
      </c>
      <c r="B361" s="13" t="s">
        <v>527</v>
      </c>
      <c r="H361" s="50" t="s">
        <v>1621</v>
      </c>
      <c r="J361" t="str">
        <f>IFERROR(VLOOKUP(Table35[[#This Row],[R&amp;D Tags]],H:H,1,FALSE), " ")</f>
        <v xml:space="preserve"> </v>
      </c>
    </row>
    <row r="362" spans="1:10" x14ac:dyDescent="0.25">
      <c r="A362" t="s">
        <v>409</v>
      </c>
      <c r="B362" s="13" t="s">
        <v>1585</v>
      </c>
      <c r="H362" s="50" t="s">
        <v>1622</v>
      </c>
      <c r="J362" t="str">
        <f>IFERROR(VLOOKUP(Table35[[#This Row],[R&amp;D Tags]],H:H,1,FALSE), " ")</f>
        <v xml:space="preserve"> </v>
      </c>
    </row>
    <row r="363" spans="1:10" x14ac:dyDescent="0.25">
      <c r="A363" t="s">
        <v>9</v>
      </c>
      <c r="B363" s="13" t="s">
        <v>490</v>
      </c>
      <c r="H363" s="50" t="s">
        <v>1623</v>
      </c>
      <c r="J363" t="str">
        <f>IFERROR(VLOOKUP(Table35[[#This Row],[R&amp;D Tags]],H:H,1,FALSE), " ")</f>
        <v xml:space="preserve"> </v>
      </c>
    </row>
    <row r="364" spans="1:10" x14ac:dyDescent="0.25">
      <c r="A364" t="s">
        <v>55</v>
      </c>
      <c r="B364" s="13" t="s">
        <v>515</v>
      </c>
      <c r="H364" s="50" t="s">
        <v>1624</v>
      </c>
      <c r="J364" t="str">
        <f>IFERROR(VLOOKUP(Table35[[#This Row],[R&amp;D Tags]],H:H,1,FALSE), " ")</f>
        <v xml:space="preserve"> </v>
      </c>
    </row>
    <row r="365" spans="1:10" x14ac:dyDescent="0.25">
      <c r="A365" t="s">
        <v>47</v>
      </c>
      <c r="B365" s="13" t="s">
        <v>511</v>
      </c>
      <c r="H365" s="50" t="s">
        <v>1625</v>
      </c>
      <c r="J365" t="str">
        <f>IFERROR(VLOOKUP(Table35[[#This Row],[R&amp;D Tags]],H:H,1,FALSE), " ")</f>
        <v xml:space="preserve"> </v>
      </c>
    </row>
    <row r="366" spans="1:10" x14ac:dyDescent="0.25">
      <c r="A366" t="s">
        <v>397</v>
      </c>
      <c r="B366" s="13" t="s">
        <v>564</v>
      </c>
      <c r="H366" s="50" t="s">
        <v>1626</v>
      </c>
      <c r="J366" t="str">
        <f>IFERROR(VLOOKUP(Table35[[#This Row],[R&amp;D Tags]],H:H,1,FALSE), " ")</f>
        <v xml:space="preserve"> </v>
      </c>
    </row>
    <row r="367" spans="1:10" x14ac:dyDescent="0.25">
      <c r="A367" t="s">
        <v>393</v>
      </c>
      <c r="B367" s="13" t="s">
        <v>535</v>
      </c>
      <c r="H367" s="50" t="s">
        <v>1627</v>
      </c>
      <c r="J367" t="str">
        <f>IFERROR(VLOOKUP(Table35[[#This Row],[R&amp;D Tags]],H:H,1,FALSE), " ")</f>
        <v xml:space="preserve"> </v>
      </c>
    </row>
    <row r="368" spans="1:10" x14ac:dyDescent="0.25">
      <c r="B368" s="13" t="s">
        <v>585</v>
      </c>
      <c r="H368" s="50" t="s">
        <v>1628</v>
      </c>
      <c r="J368" t="str">
        <f>IFERROR(VLOOKUP(Table35[[#This Row],[R&amp;D Tags]],H:H,1,FALSE), " ")</f>
        <v xml:space="preserve"> </v>
      </c>
    </row>
    <row r="369" spans="2:10" x14ac:dyDescent="0.25">
      <c r="B369" s="13" t="s">
        <v>580</v>
      </c>
      <c r="H369" s="50" t="s">
        <v>1629</v>
      </c>
      <c r="J369" t="str">
        <f>IFERROR(VLOOKUP(Table35[[#This Row],[R&amp;D Tags]],H:H,1,FALSE), " ")</f>
        <v xml:space="preserve"> </v>
      </c>
    </row>
    <row r="370" spans="2:10" x14ac:dyDescent="0.25">
      <c r="B370" s="13" t="s">
        <v>597</v>
      </c>
      <c r="H370" s="50" t="s">
        <v>1630</v>
      </c>
      <c r="J370" t="str">
        <f>IFERROR(VLOOKUP(Table35[[#This Row],[R&amp;D Tags]],H:H,1,FALSE), " ")</f>
        <v xml:space="preserve"> </v>
      </c>
    </row>
    <row r="371" spans="2:10" x14ac:dyDescent="0.25">
      <c r="B371" s="13" t="s">
        <v>555</v>
      </c>
      <c r="H371" s="50" t="s">
        <v>1631</v>
      </c>
      <c r="J371" t="str">
        <f>IFERROR(VLOOKUP(Table35[[#This Row],[R&amp;D Tags]],H:H,1,FALSE), " ")</f>
        <v xml:space="preserve"> </v>
      </c>
    </row>
    <row r="372" spans="2:10" x14ac:dyDescent="0.25">
      <c r="B372" s="13" t="s">
        <v>551</v>
      </c>
      <c r="H372" s="50" t="s">
        <v>1632</v>
      </c>
      <c r="J372" t="str">
        <f>IFERROR(VLOOKUP(Table35[[#This Row],[R&amp;D Tags]],H:H,1,FALSE), " ")</f>
        <v xml:space="preserve"> </v>
      </c>
    </row>
    <row r="373" spans="2:10" x14ac:dyDescent="0.25">
      <c r="B373" s="13" t="s">
        <v>572</v>
      </c>
      <c r="H373" s="50" t="s">
        <v>1633</v>
      </c>
      <c r="J373" t="str">
        <f>IFERROR(VLOOKUP(Table35[[#This Row],[R&amp;D Tags]],H:H,1,FALSE), " ")</f>
        <v xml:space="preserve"> </v>
      </c>
    </row>
    <row r="374" spans="2:10" x14ac:dyDescent="0.25">
      <c r="B374" s="13" t="s">
        <v>547</v>
      </c>
      <c r="H374" s="50" t="s">
        <v>1634</v>
      </c>
      <c r="J374" t="str">
        <f>IFERROR(VLOOKUP(Table35[[#This Row],[R&amp;D Tags]],H:H,1,FALSE), " ")</f>
        <v xml:space="preserve"> </v>
      </c>
    </row>
    <row r="375" spans="2:10" x14ac:dyDescent="0.25">
      <c r="B375" s="23" t="s">
        <v>1587</v>
      </c>
      <c r="H375" s="50" t="s">
        <v>1635</v>
      </c>
      <c r="J375" t="str">
        <f>IFERROR(VLOOKUP(Table35[[#This Row],[R&amp;D Tags]],H:H,1,FALSE), " ")</f>
        <v xml:space="preserve"> </v>
      </c>
    </row>
    <row r="376" spans="2:10" x14ac:dyDescent="0.25">
      <c r="B376" s="13" t="s">
        <v>531</v>
      </c>
      <c r="H376" s="50" t="s">
        <v>1636</v>
      </c>
      <c r="J376" t="str">
        <f>IFERROR(VLOOKUP(Table35[[#This Row],[R&amp;D Tags]],H:H,1,FALSE), " ")</f>
        <v xml:space="preserve"> </v>
      </c>
    </row>
    <row r="377" spans="2:10" x14ac:dyDescent="0.25">
      <c r="B377" s="13" t="s">
        <v>560</v>
      </c>
      <c r="H377" s="50" t="s">
        <v>1637</v>
      </c>
      <c r="J377" t="str">
        <f>IFERROR(VLOOKUP(Table35[[#This Row],[R&amp;D Tags]],H:H,1,FALSE), " ")</f>
        <v xml:space="preserve"> </v>
      </c>
    </row>
    <row r="378" spans="2:10" x14ac:dyDescent="0.25">
      <c r="B378" s="13" t="s">
        <v>576</v>
      </c>
      <c r="H378" s="50" t="s">
        <v>1638</v>
      </c>
      <c r="J378" t="str">
        <f>IFERROR(VLOOKUP(Table35[[#This Row],[R&amp;D Tags]],H:H,1,FALSE), " ")</f>
        <v xml:space="preserve"> </v>
      </c>
    </row>
    <row r="379" spans="2:10" x14ac:dyDescent="0.25">
      <c r="B379" s="13" t="s">
        <v>589</v>
      </c>
      <c r="H379" s="50" t="s">
        <v>1639</v>
      </c>
      <c r="J379" t="str">
        <f>IFERROR(VLOOKUP(Table35[[#This Row],[R&amp;D Tags]],H:H,1,FALSE), " ")</f>
        <v xml:space="preserve"> </v>
      </c>
    </row>
    <row r="380" spans="2:10" x14ac:dyDescent="0.25">
      <c r="B380" s="13" t="s">
        <v>934</v>
      </c>
      <c r="H380" s="50" t="s">
        <v>1640</v>
      </c>
      <c r="J380" t="str">
        <f>IFERROR(VLOOKUP(Table35[[#This Row],[R&amp;D Tags]],H:H,1,FALSE), " ")</f>
        <v xml:space="preserve"> </v>
      </c>
    </row>
    <row r="381" spans="2:10" x14ac:dyDescent="0.25">
      <c r="B381" s="13" t="s">
        <v>905</v>
      </c>
      <c r="H381" s="50" t="s">
        <v>1641</v>
      </c>
      <c r="J381" t="str">
        <f>IFERROR(VLOOKUP(Table35[[#This Row],[R&amp;D Tags]],H:H,1,FALSE), " ")</f>
        <v xml:space="preserve"> </v>
      </c>
    </row>
    <row r="382" spans="2:10" x14ac:dyDescent="0.25">
      <c r="B382" s="19" t="s">
        <v>1588</v>
      </c>
      <c r="H382" s="50" t="s">
        <v>1642</v>
      </c>
      <c r="J382" t="str">
        <f>IFERROR(VLOOKUP(Table35[[#This Row],[R&amp;D Tags]],H:H,1,FALSE), " ")</f>
        <v xml:space="preserve"> </v>
      </c>
    </row>
    <row r="383" spans="2:10" x14ac:dyDescent="0.25">
      <c r="B383" s="19" t="s">
        <v>1589</v>
      </c>
      <c r="H383" s="50" t="s">
        <v>1643</v>
      </c>
      <c r="J383" t="str">
        <f>IFERROR(VLOOKUP(Table35[[#This Row],[R&amp;D Tags]],H:H,1,FALSE), " ")</f>
        <v xml:space="preserve"> </v>
      </c>
    </row>
    <row r="384" spans="2:10" x14ac:dyDescent="0.25">
      <c r="B384" s="13" t="s">
        <v>1590</v>
      </c>
      <c r="H384" s="50" t="s">
        <v>1644</v>
      </c>
      <c r="J384" t="str">
        <f>IFERROR(VLOOKUP(Table35[[#This Row],[R&amp;D Tags]],H:H,1,FALSE), " ")</f>
        <v xml:space="preserve"> </v>
      </c>
    </row>
    <row r="385" spans="2:10" x14ac:dyDescent="0.25">
      <c r="B385" s="13" t="s">
        <v>1591</v>
      </c>
      <c r="H385" s="50" t="s">
        <v>1645</v>
      </c>
      <c r="J385" t="str">
        <f>IFERROR(VLOOKUP(Table35[[#This Row],[R&amp;D Tags]],H:H,1,FALSE), " ")</f>
        <v xml:space="preserve"> </v>
      </c>
    </row>
    <row r="386" spans="2:10" x14ac:dyDescent="0.25">
      <c r="B386" s="13" t="s">
        <v>1592</v>
      </c>
      <c r="H386" s="50" t="s">
        <v>1645</v>
      </c>
      <c r="J386" t="str">
        <f>IFERROR(VLOOKUP(Table35[[#This Row],[R&amp;D Tags]],H:H,1,FALSE), " ")</f>
        <v xml:space="preserve"> </v>
      </c>
    </row>
    <row r="387" spans="2:10" x14ac:dyDescent="0.25">
      <c r="B387" s="13" t="s">
        <v>661</v>
      </c>
      <c r="H387" s="50" t="s">
        <v>1646</v>
      </c>
      <c r="J387" t="str">
        <f>IFERROR(VLOOKUP(Table35[[#This Row],[R&amp;D Tags]],H:H,1,FALSE), " ")</f>
        <v xml:space="preserve"> </v>
      </c>
    </row>
    <row r="388" spans="2:10" x14ac:dyDescent="0.25">
      <c r="B388" s="13" t="s">
        <v>661</v>
      </c>
      <c r="H388" s="50" t="s">
        <v>1647</v>
      </c>
      <c r="J388" t="str">
        <f>IFERROR(VLOOKUP(Table35[[#This Row],[R&amp;D Tags]],H:H,1,FALSE), " ")</f>
        <v xml:space="preserve"> </v>
      </c>
    </row>
    <row r="389" spans="2:10" x14ac:dyDescent="0.25">
      <c r="B389" s="13" t="s">
        <v>921</v>
      </c>
      <c r="H389" s="50" t="s">
        <v>1648</v>
      </c>
      <c r="J389" t="str">
        <f>IFERROR(VLOOKUP(Table35[[#This Row],[R&amp;D Tags]],H:H,1,FALSE), " ")</f>
        <v xml:space="preserve"> </v>
      </c>
    </row>
    <row r="390" spans="2:10" x14ac:dyDescent="0.25">
      <c r="B390" s="13" t="s">
        <v>1593</v>
      </c>
      <c r="H390" s="50" t="s">
        <v>1648</v>
      </c>
      <c r="J390" t="str">
        <f>IFERROR(VLOOKUP(Table35[[#This Row],[R&amp;D Tags]],H:H,1,FALSE), " ")</f>
        <v xml:space="preserve"> </v>
      </c>
    </row>
    <row r="391" spans="2:10" x14ac:dyDescent="0.25">
      <c r="B391" s="13" t="s">
        <v>1594</v>
      </c>
      <c r="H391" s="50" t="s">
        <v>1649</v>
      </c>
      <c r="J391" t="str">
        <f>IFERROR(VLOOKUP(Table35[[#This Row],[R&amp;D Tags]],H:H,1,FALSE), " ")</f>
        <v xml:space="preserve"> </v>
      </c>
    </row>
    <row r="392" spans="2:10" x14ac:dyDescent="0.25">
      <c r="B392" s="13" t="s">
        <v>869</v>
      </c>
      <c r="H392" s="50" t="s">
        <v>1650</v>
      </c>
      <c r="J392" t="str">
        <f>IFERROR(VLOOKUP(Table35[[#This Row],[R&amp;D Tags]],H:H,1,FALSE), " ")</f>
        <v xml:space="preserve"> </v>
      </c>
    </row>
    <row r="393" spans="2:10" x14ac:dyDescent="0.25">
      <c r="B393" s="13" t="s">
        <v>873</v>
      </c>
      <c r="H393" s="50" t="s">
        <v>1650</v>
      </c>
      <c r="J393" t="str">
        <f>IFERROR(VLOOKUP(Table35[[#This Row],[R&amp;D Tags]],H:H,1,FALSE), " ")</f>
        <v xml:space="preserve"> </v>
      </c>
    </row>
    <row r="394" spans="2:10" x14ac:dyDescent="0.25">
      <c r="B394" s="13" t="s">
        <v>1595</v>
      </c>
      <c r="H394" s="50" t="s">
        <v>1651</v>
      </c>
      <c r="J394" t="str">
        <f>IFERROR(VLOOKUP(Table35[[#This Row],[R&amp;D Tags]],H:H,1,FALSE), " ")</f>
        <v xml:space="preserve"> </v>
      </c>
    </row>
    <row r="395" spans="2:10" x14ac:dyDescent="0.25">
      <c r="B395" s="13" t="s">
        <v>1596</v>
      </c>
      <c r="H395" s="50" t="s">
        <v>1652</v>
      </c>
      <c r="J395" t="str">
        <f>IFERROR(VLOOKUP(Table35[[#This Row],[R&amp;D Tags]],H:H,1,FALSE), " ")</f>
        <v xml:space="preserve"> </v>
      </c>
    </row>
    <row r="396" spans="2:10" x14ac:dyDescent="0.25">
      <c r="B396" s="13" t="s">
        <v>1597</v>
      </c>
      <c r="H396" s="50" t="s">
        <v>1653</v>
      </c>
      <c r="J396" t="str">
        <f>IFERROR(VLOOKUP(Table35[[#This Row],[R&amp;D Tags]],H:H,1,FALSE), " ")</f>
        <v xml:space="preserve"> </v>
      </c>
    </row>
    <row r="397" spans="2:10" x14ac:dyDescent="0.25">
      <c r="B397" s="13" t="s">
        <v>841</v>
      </c>
      <c r="H397" s="50" t="s">
        <v>1654</v>
      </c>
      <c r="J397" t="str">
        <f>IFERROR(VLOOKUP(Table35[[#This Row],[R&amp;D Tags]],H:H,1,FALSE), " ")</f>
        <v xml:space="preserve"> </v>
      </c>
    </row>
    <row r="398" spans="2:10" x14ac:dyDescent="0.25">
      <c r="B398" s="13" t="s">
        <v>845</v>
      </c>
      <c r="H398" s="50" t="s">
        <v>1655</v>
      </c>
      <c r="J398" t="str">
        <f>IFERROR(VLOOKUP(Table35[[#This Row],[R&amp;D Tags]],H:H,1,FALSE), " ")</f>
        <v xml:space="preserve"> </v>
      </c>
    </row>
    <row r="399" spans="2:10" x14ac:dyDescent="0.25">
      <c r="B399" s="13" t="s">
        <v>849</v>
      </c>
      <c r="H399" s="50" t="s">
        <v>1656</v>
      </c>
      <c r="J399" t="str">
        <f>IFERROR(VLOOKUP(Table35[[#This Row],[R&amp;D Tags]],H:H,1,FALSE), " ")</f>
        <v xml:space="preserve"> </v>
      </c>
    </row>
    <row r="400" spans="2:10" x14ac:dyDescent="0.25">
      <c r="B400" s="13" t="s">
        <v>1598</v>
      </c>
      <c r="H400" s="50" t="s">
        <v>1657</v>
      </c>
      <c r="J400" t="str">
        <f>IFERROR(VLOOKUP(Table35[[#This Row],[R&amp;D Tags]],H:H,1,FALSE), " ")</f>
        <v xml:space="preserve"> </v>
      </c>
    </row>
    <row r="401" spans="2:10" x14ac:dyDescent="0.25">
      <c r="B401" s="13" t="s">
        <v>1599</v>
      </c>
      <c r="H401" s="50" t="s">
        <v>1657</v>
      </c>
      <c r="J401" t="str">
        <f>IFERROR(VLOOKUP(Table35[[#This Row],[R&amp;D Tags]],H:H,1,FALSE), " ")</f>
        <v xml:space="preserve"> </v>
      </c>
    </row>
    <row r="402" spans="2:10" x14ac:dyDescent="0.25">
      <c r="B402" s="13" t="s">
        <v>1600</v>
      </c>
      <c r="H402" s="50" t="s">
        <v>1658</v>
      </c>
      <c r="J402" t="str">
        <f>IFERROR(VLOOKUP(Table35[[#This Row],[R&amp;D Tags]],H:H,1,FALSE), " ")</f>
        <v xml:space="preserve"> </v>
      </c>
    </row>
    <row r="403" spans="2:10" x14ac:dyDescent="0.25">
      <c r="B403" s="13" t="s">
        <v>1601</v>
      </c>
      <c r="H403" s="50" t="s">
        <v>1659</v>
      </c>
      <c r="J403" t="str">
        <f>IFERROR(VLOOKUP(Table35[[#This Row],[R&amp;D Tags]],H:H,1,FALSE), " ")</f>
        <v xml:space="preserve"> </v>
      </c>
    </row>
    <row r="404" spans="2:10" x14ac:dyDescent="0.25">
      <c r="B404" s="13" t="s">
        <v>853</v>
      </c>
      <c r="H404" s="50" t="s">
        <v>1660</v>
      </c>
      <c r="J404" t="str">
        <f>IFERROR(VLOOKUP(Table35[[#This Row],[R&amp;D Tags]],H:H,1,FALSE), " ")</f>
        <v xml:space="preserve"> </v>
      </c>
    </row>
    <row r="405" spans="2:10" x14ac:dyDescent="0.25">
      <c r="B405" s="13" t="s">
        <v>857</v>
      </c>
      <c r="H405" s="50" t="s">
        <v>1661</v>
      </c>
      <c r="J405" t="str">
        <f>IFERROR(VLOOKUP(Table35[[#This Row],[R&amp;D Tags]],H:H,1,FALSE), " ")</f>
        <v xml:space="preserve"> </v>
      </c>
    </row>
    <row r="406" spans="2:10" x14ac:dyDescent="0.25">
      <c r="B406" s="13" t="s">
        <v>861</v>
      </c>
      <c r="H406" s="50" t="s">
        <v>1662</v>
      </c>
      <c r="J406" t="str">
        <f>IFERROR(VLOOKUP(Table35[[#This Row],[R&amp;D Tags]],H:H,1,FALSE), " ")</f>
        <v xml:space="preserve"> </v>
      </c>
    </row>
    <row r="407" spans="2:10" x14ac:dyDescent="0.25">
      <c r="B407" s="13" t="s">
        <v>865</v>
      </c>
      <c r="H407" s="50" t="s">
        <v>1663</v>
      </c>
      <c r="J407" t="str">
        <f>IFERROR(VLOOKUP(Table35[[#This Row],[R&amp;D Tags]],H:H,1,FALSE), " ")</f>
        <v xml:space="preserve"> </v>
      </c>
    </row>
    <row r="408" spans="2:10" x14ac:dyDescent="0.25">
      <c r="B408" s="13" t="s">
        <v>1602</v>
      </c>
      <c r="H408" s="50" t="s">
        <v>1664</v>
      </c>
      <c r="J408" t="str">
        <f>IFERROR(VLOOKUP(Table35[[#This Row],[R&amp;D Tags]],H:H,1,FALSE), " ")</f>
        <v xml:space="preserve"> </v>
      </c>
    </row>
    <row r="409" spans="2:10" x14ac:dyDescent="0.25">
      <c r="B409" s="13" t="s">
        <v>909</v>
      </c>
      <c r="H409" s="50" t="s">
        <v>1665</v>
      </c>
      <c r="J409" t="str">
        <f>IFERROR(VLOOKUP(Table35[[#This Row],[R&amp;D Tags]],H:H,1,FALSE), " ")</f>
        <v xml:space="preserve"> </v>
      </c>
    </row>
    <row r="410" spans="2:10" x14ac:dyDescent="0.25">
      <c r="B410" s="19" t="s">
        <v>1603</v>
      </c>
      <c r="H410" s="50" t="s">
        <v>1666</v>
      </c>
      <c r="J410" t="str">
        <f>IFERROR(VLOOKUP(Table35[[#This Row],[R&amp;D Tags]],H:H,1,FALSE), " ")</f>
        <v xml:space="preserve"> </v>
      </c>
    </row>
    <row r="411" spans="2:10" x14ac:dyDescent="0.25">
      <c r="B411" s="19" t="s">
        <v>1604</v>
      </c>
      <c r="H411" s="50" t="s">
        <v>1667</v>
      </c>
      <c r="J411" t="str">
        <f>IFERROR(VLOOKUP(Table35[[#This Row],[R&amp;D Tags]],H:H,1,FALSE), " ")</f>
        <v xml:space="preserve"> </v>
      </c>
    </row>
    <row r="412" spans="2:10" x14ac:dyDescent="0.25">
      <c r="B412" s="19" t="s">
        <v>1605</v>
      </c>
      <c r="H412" s="50" t="s">
        <v>1668</v>
      </c>
      <c r="J412" t="str">
        <f>IFERROR(VLOOKUP(Table35[[#This Row],[R&amp;D Tags]],H:H,1,FALSE), " ")</f>
        <v xml:space="preserve"> </v>
      </c>
    </row>
    <row r="413" spans="2:10" x14ac:dyDescent="0.25">
      <c r="B413" s="13" t="s">
        <v>1606</v>
      </c>
      <c r="H413" s="50" t="s">
        <v>1669</v>
      </c>
      <c r="J413" t="str">
        <f>IFERROR(VLOOKUP(Table35[[#This Row],[R&amp;D Tags]],H:H,1,FALSE), " ")</f>
        <v xml:space="preserve"> </v>
      </c>
    </row>
    <row r="414" spans="2:10" x14ac:dyDescent="0.25">
      <c r="B414" s="13" t="s">
        <v>1607</v>
      </c>
      <c r="H414" s="50" t="s">
        <v>1670</v>
      </c>
      <c r="J414" t="str">
        <f>IFERROR(VLOOKUP(Table35[[#This Row],[R&amp;D Tags]],H:H,1,FALSE), " ")</f>
        <v xml:space="preserve"> </v>
      </c>
    </row>
    <row r="415" spans="2:10" x14ac:dyDescent="0.25">
      <c r="B415" s="13" t="s">
        <v>669</v>
      </c>
      <c r="H415" s="50" t="s">
        <v>1671</v>
      </c>
      <c r="J415" t="str">
        <f>IFERROR(VLOOKUP(Table35[[#This Row],[R&amp;D Tags]],H:H,1,FALSE), " ")</f>
        <v xml:space="preserve"> </v>
      </c>
    </row>
    <row r="416" spans="2:10" x14ac:dyDescent="0.25">
      <c r="B416" s="13" t="s">
        <v>669</v>
      </c>
      <c r="H416" s="50" t="s">
        <v>1672</v>
      </c>
      <c r="J416" t="str">
        <f>IFERROR(VLOOKUP(Table35[[#This Row],[R&amp;D Tags]],H:H,1,FALSE), " ")</f>
        <v xml:space="preserve"> </v>
      </c>
    </row>
    <row r="417" spans="2:10" x14ac:dyDescent="0.25">
      <c r="B417" s="13" t="s">
        <v>1608</v>
      </c>
      <c r="H417" s="50" t="s">
        <v>1673</v>
      </c>
      <c r="J417" t="str">
        <f>IFERROR(VLOOKUP(Table35[[#This Row],[R&amp;D Tags]],H:H,1,FALSE), " ")</f>
        <v xml:space="preserve"> </v>
      </c>
    </row>
    <row r="418" spans="2:10" x14ac:dyDescent="0.25">
      <c r="B418" s="13" t="s">
        <v>1609</v>
      </c>
      <c r="H418" s="50" t="s">
        <v>1674</v>
      </c>
      <c r="J418" t="str">
        <f>IFERROR(VLOOKUP(Table35[[#This Row],[R&amp;D Tags]],H:H,1,FALSE), " ")</f>
        <v xml:space="preserve"> </v>
      </c>
    </row>
    <row r="419" spans="2:10" x14ac:dyDescent="0.25">
      <c r="B419" s="13" t="s">
        <v>1024</v>
      </c>
      <c r="H419" s="50" t="s">
        <v>1675</v>
      </c>
      <c r="J419" t="str">
        <f>IFERROR(VLOOKUP(Table35[[#This Row],[R&amp;D Tags]],H:H,1,FALSE), " ")</f>
        <v xml:space="preserve"> </v>
      </c>
    </row>
    <row r="420" spans="2:10" x14ac:dyDescent="0.25">
      <c r="B420" s="13" t="s">
        <v>885</v>
      </c>
      <c r="H420" s="50" t="s">
        <v>1676</v>
      </c>
      <c r="J420" t="str">
        <f>IFERROR(VLOOKUP(Table35[[#This Row],[R&amp;D Tags]],H:H,1,FALSE), " ")</f>
        <v xml:space="preserve"> </v>
      </c>
    </row>
    <row r="421" spans="2:10" x14ac:dyDescent="0.25">
      <c r="B421" s="13" t="s">
        <v>1610</v>
      </c>
      <c r="H421" s="50" t="s">
        <v>1677</v>
      </c>
      <c r="J421" t="str">
        <f>IFERROR(VLOOKUP(Table35[[#This Row],[R&amp;D Tags]],H:H,1,FALSE), " ")</f>
        <v xml:space="preserve"> </v>
      </c>
    </row>
    <row r="422" spans="2:10" x14ac:dyDescent="0.25">
      <c r="B422" s="13" t="s">
        <v>1610</v>
      </c>
      <c r="H422" s="50" t="s">
        <v>1678</v>
      </c>
      <c r="J422" t="str">
        <f>IFERROR(VLOOKUP(Table35[[#This Row],[R&amp;D Tags]],H:H,1,FALSE), " ")</f>
        <v xml:space="preserve"> </v>
      </c>
    </row>
    <row r="423" spans="2:10" x14ac:dyDescent="0.25">
      <c r="B423" s="13" t="s">
        <v>925</v>
      </c>
      <c r="H423" s="50" t="s">
        <v>1679</v>
      </c>
      <c r="J423" t="str">
        <f>IFERROR(VLOOKUP(Table35[[#This Row],[R&amp;D Tags]],H:H,1,FALSE), " ")</f>
        <v xml:space="preserve"> </v>
      </c>
    </row>
    <row r="424" spans="2:10" x14ac:dyDescent="0.25">
      <c r="B424" s="13" t="s">
        <v>1611</v>
      </c>
      <c r="H424" s="50" t="s">
        <v>1680</v>
      </c>
      <c r="J424" t="str">
        <f>IFERROR(VLOOKUP(Table35[[#This Row],[R&amp;D Tags]],H:H,1,FALSE), " ")</f>
        <v xml:space="preserve"> </v>
      </c>
    </row>
    <row r="425" spans="2:10" x14ac:dyDescent="0.25">
      <c r="B425" s="13" t="s">
        <v>1612</v>
      </c>
      <c r="H425" s="50" t="s">
        <v>1681</v>
      </c>
      <c r="J425" t="str">
        <f>IFERROR(VLOOKUP(Table35[[#This Row],[R&amp;D Tags]],H:H,1,FALSE), " ")</f>
        <v xml:space="preserve"> </v>
      </c>
    </row>
    <row r="426" spans="2:10" x14ac:dyDescent="0.25">
      <c r="B426" s="19" t="s">
        <v>1613</v>
      </c>
      <c r="H426" s="50" t="s">
        <v>1682</v>
      </c>
      <c r="J426" t="str">
        <f>IFERROR(VLOOKUP(Table35[[#This Row],[R&amp;D Tags]],H:H,1,FALSE), " ")</f>
        <v xml:space="preserve"> </v>
      </c>
    </row>
    <row r="427" spans="2:10" x14ac:dyDescent="0.25">
      <c r="B427" s="19" t="s">
        <v>1614</v>
      </c>
      <c r="H427" s="50" t="s">
        <v>1683</v>
      </c>
      <c r="J427" t="str">
        <f>IFERROR(VLOOKUP(Table35[[#This Row],[R&amp;D Tags]],H:H,1,FALSE), " ")</f>
        <v xml:space="preserve"> </v>
      </c>
    </row>
    <row r="428" spans="2:10" x14ac:dyDescent="0.25">
      <c r="B428" s="19" t="s">
        <v>1615</v>
      </c>
      <c r="H428" s="50" t="s">
        <v>1684</v>
      </c>
      <c r="J428" t="str">
        <f>IFERROR(VLOOKUP(Table35[[#This Row],[R&amp;D Tags]],H:H,1,FALSE), " ")</f>
        <v xml:space="preserve"> </v>
      </c>
    </row>
    <row r="429" spans="2:10" x14ac:dyDescent="0.25">
      <c r="B429" s="13" t="s">
        <v>1616</v>
      </c>
      <c r="H429" s="50" t="s">
        <v>1685</v>
      </c>
      <c r="J429" t="str">
        <f>IFERROR(VLOOKUP(Table35[[#This Row],[R&amp;D Tags]],H:H,1,FALSE), " ")</f>
        <v xml:space="preserve"> </v>
      </c>
    </row>
    <row r="430" spans="2:10" x14ac:dyDescent="0.25">
      <c r="B430" s="13" t="s">
        <v>1617</v>
      </c>
      <c r="H430" s="50" t="s">
        <v>1686</v>
      </c>
      <c r="J430" t="str">
        <f>IFERROR(VLOOKUP(Table35[[#This Row],[R&amp;D Tags]],H:H,1,FALSE), " ")</f>
        <v xml:space="preserve"> </v>
      </c>
    </row>
    <row r="431" spans="2:10" x14ac:dyDescent="0.25">
      <c r="B431" s="13" t="s">
        <v>1618</v>
      </c>
      <c r="H431" s="50" t="s">
        <v>1687</v>
      </c>
      <c r="J431" t="str">
        <f>IFERROR(VLOOKUP(Table35[[#This Row],[R&amp;D Tags]],H:H,1,FALSE), " ")</f>
        <v xml:space="preserve"> </v>
      </c>
    </row>
    <row r="432" spans="2:10" x14ac:dyDescent="0.25">
      <c r="B432" s="13" t="s">
        <v>1619</v>
      </c>
      <c r="H432" s="50" t="s">
        <v>1688</v>
      </c>
      <c r="J432" t="str">
        <f>IFERROR(VLOOKUP(Table35[[#This Row],[R&amp;D Tags]],H:H,1,FALSE), " ")</f>
        <v xml:space="preserve"> </v>
      </c>
    </row>
    <row r="433" spans="2:10" x14ac:dyDescent="0.25">
      <c r="B433" s="13" t="s">
        <v>673</v>
      </c>
      <c r="H433" s="50" t="s">
        <v>1689</v>
      </c>
      <c r="J433" t="str">
        <f>IFERROR(VLOOKUP(Table35[[#This Row],[R&amp;D Tags]],H:H,1,FALSE), " ")</f>
        <v xml:space="preserve"> </v>
      </c>
    </row>
    <row r="434" spans="2:10" x14ac:dyDescent="0.25">
      <c r="B434" s="13" t="s">
        <v>929</v>
      </c>
      <c r="H434" s="50" t="s">
        <v>1689</v>
      </c>
      <c r="J434" t="str">
        <f>IFERROR(VLOOKUP(Table35[[#This Row],[R&amp;D Tags]],H:H,1,FALSE), " ")</f>
        <v xml:space="preserve"> </v>
      </c>
    </row>
    <row r="435" spans="2:10" x14ac:dyDescent="0.25">
      <c r="B435" s="13" t="s">
        <v>1620</v>
      </c>
      <c r="H435" s="50" t="s">
        <v>1690</v>
      </c>
      <c r="J435" t="str">
        <f>IFERROR(VLOOKUP(Table35[[#This Row],[R&amp;D Tags]],H:H,1,FALSE), " ")</f>
        <v xml:space="preserve"> </v>
      </c>
    </row>
    <row r="436" spans="2:10" x14ac:dyDescent="0.25">
      <c r="B436" s="13" t="s">
        <v>1621</v>
      </c>
      <c r="H436" s="50" t="s">
        <v>1691</v>
      </c>
      <c r="J436" t="str">
        <f>IFERROR(VLOOKUP(Table35[[#This Row],[R&amp;D Tags]],H:H,1,FALSE), " ")</f>
        <v xml:space="preserve"> </v>
      </c>
    </row>
    <row r="437" spans="2:10" x14ac:dyDescent="0.25">
      <c r="B437" s="19" t="s">
        <v>1622</v>
      </c>
      <c r="H437" s="50" t="s">
        <v>1692</v>
      </c>
      <c r="J437" t="str">
        <f>IFERROR(VLOOKUP(Table35[[#This Row],[R&amp;D Tags]],H:H,1,FALSE), " ")</f>
        <v xml:space="preserve"> </v>
      </c>
    </row>
    <row r="438" spans="2:10" x14ac:dyDescent="0.25">
      <c r="B438" s="19" t="s">
        <v>1623</v>
      </c>
      <c r="H438" s="50" t="s">
        <v>1693</v>
      </c>
      <c r="J438" t="str">
        <f>IFERROR(VLOOKUP(Table35[[#This Row],[R&amp;D Tags]],H:H,1,FALSE), " ")</f>
        <v xml:space="preserve"> </v>
      </c>
    </row>
    <row r="439" spans="2:10" x14ac:dyDescent="0.25">
      <c r="B439" s="19" t="s">
        <v>1624</v>
      </c>
      <c r="H439" s="50" t="s">
        <v>1694</v>
      </c>
      <c r="J439" t="str">
        <f>IFERROR(VLOOKUP(Table35[[#This Row],[R&amp;D Tags]],H:H,1,FALSE), " ")</f>
        <v xml:space="preserve"> </v>
      </c>
    </row>
    <row r="440" spans="2:10" x14ac:dyDescent="0.25">
      <c r="B440" s="19" t="s">
        <v>1625</v>
      </c>
      <c r="H440" s="50" t="s">
        <v>1695</v>
      </c>
      <c r="J440" t="str">
        <f>IFERROR(VLOOKUP(Table35[[#This Row],[R&amp;D Tags]],H:H,1,FALSE), " ")</f>
        <v xml:space="preserve"> </v>
      </c>
    </row>
    <row r="441" spans="2:10" x14ac:dyDescent="0.25">
      <c r="B441" s="13" t="s">
        <v>1626</v>
      </c>
      <c r="H441" s="50" t="s">
        <v>1696</v>
      </c>
      <c r="J441" t="str">
        <f>IFERROR(VLOOKUP(Table35[[#This Row],[R&amp;D Tags]],H:H,1,FALSE), " ")</f>
        <v xml:space="preserve"> </v>
      </c>
    </row>
    <row r="442" spans="2:10" x14ac:dyDescent="0.25">
      <c r="B442" s="13" t="s">
        <v>1627</v>
      </c>
      <c r="H442" s="50" t="s">
        <v>1697</v>
      </c>
      <c r="J442" t="str">
        <f>IFERROR(VLOOKUP(Table35[[#This Row],[R&amp;D Tags]],H:H,1,FALSE), " ")</f>
        <v xml:space="preserve"> </v>
      </c>
    </row>
    <row r="443" spans="2:10" x14ac:dyDescent="0.25">
      <c r="B443" s="13" t="s">
        <v>829</v>
      </c>
      <c r="H443" s="50" t="s">
        <v>1698</v>
      </c>
      <c r="J443" t="str">
        <f>IFERROR(VLOOKUP(Table35[[#This Row],[R&amp;D Tags]],H:H,1,FALSE), " ")</f>
        <v xml:space="preserve"> </v>
      </c>
    </row>
    <row r="444" spans="2:10" x14ac:dyDescent="0.25">
      <c r="B444" s="13" t="s">
        <v>833</v>
      </c>
      <c r="H444" s="50" t="s">
        <v>1699</v>
      </c>
      <c r="J444" t="str">
        <f>IFERROR(VLOOKUP(Table35[[#This Row],[R&amp;D Tags]],H:H,1,FALSE), " ")</f>
        <v xml:space="preserve"> </v>
      </c>
    </row>
    <row r="445" spans="2:10" x14ac:dyDescent="0.25">
      <c r="B445" s="13" t="s">
        <v>677</v>
      </c>
      <c r="H445" s="50" t="s">
        <v>1700</v>
      </c>
      <c r="J445" t="str">
        <f>IFERROR(VLOOKUP(Table35[[#This Row],[R&amp;D Tags]],H:H,1,FALSE), " ")</f>
        <v xml:space="preserve"> </v>
      </c>
    </row>
    <row r="446" spans="2:10" x14ac:dyDescent="0.25">
      <c r="B446" s="13" t="s">
        <v>877</v>
      </c>
      <c r="H446" s="50" t="s">
        <v>1701</v>
      </c>
      <c r="J446" t="str">
        <f>IFERROR(VLOOKUP(Table35[[#This Row],[R&amp;D Tags]],H:H,1,FALSE), " ")</f>
        <v xml:space="preserve"> </v>
      </c>
    </row>
    <row r="447" spans="2:10" x14ac:dyDescent="0.25">
      <c r="B447" s="19" t="s">
        <v>1628</v>
      </c>
      <c r="H447" s="50" t="s">
        <v>1702</v>
      </c>
      <c r="J447" t="str">
        <f>IFERROR(VLOOKUP(Table35[[#This Row],[R&amp;D Tags]],H:H,1,FALSE), " ")</f>
        <v xml:space="preserve"> </v>
      </c>
    </row>
    <row r="448" spans="2:10" x14ac:dyDescent="0.25">
      <c r="B448" s="19" t="s">
        <v>1629</v>
      </c>
      <c r="H448" s="50" t="s">
        <v>1703</v>
      </c>
      <c r="J448" t="str">
        <f>IFERROR(VLOOKUP(Table35[[#This Row],[R&amp;D Tags]],H:H,1,FALSE), " ")</f>
        <v xml:space="preserve"> </v>
      </c>
    </row>
    <row r="449" spans="2:10" x14ac:dyDescent="0.25">
      <c r="B449" s="19" t="s">
        <v>1630</v>
      </c>
      <c r="H449" s="50" t="s">
        <v>1704</v>
      </c>
      <c r="J449" t="str">
        <f>IFERROR(VLOOKUP(Table35[[#This Row],[R&amp;D Tags]],H:H,1,FALSE), " ")</f>
        <v xml:space="preserve"> </v>
      </c>
    </row>
    <row r="450" spans="2:10" x14ac:dyDescent="0.25">
      <c r="B450" s="19" t="s">
        <v>1631</v>
      </c>
      <c r="H450" s="50" t="s">
        <v>1705</v>
      </c>
      <c r="J450" t="str">
        <f>IFERROR(VLOOKUP(Table35[[#This Row],[R&amp;D Tags]],H:H,1,FALSE), " ")</f>
        <v xml:space="preserve"> </v>
      </c>
    </row>
    <row r="451" spans="2:10" x14ac:dyDescent="0.25">
      <c r="B451" s="13" t="s">
        <v>1632</v>
      </c>
      <c r="H451" s="50" t="s">
        <v>1706</v>
      </c>
      <c r="J451" t="str">
        <f>IFERROR(VLOOKUP(Table35[[#This Row],[R&amp;D Tags]],H:H,1,FALSE), " ")</f>
        <v xml:space="preserve"> </v>
      </c>
    </row>
    <row r="452" spans="2:10" x14ac:dyDescent="0.25">
      <c r="B452" s="13" t="s">
        <v>825</v>
      </c>
      <c r="H452" s="50" t="s">
        <v>1707</v>
      </c>
      <c r="J452" t="str">
        <f>IFERROR(VLOOKUP(Table35[[#This Row],[R&amp;D Tags]],H:H,1,FALSE), " ")</f>
        <v xml:space="preserve"> </v>
      </c>
    </row>
    <row r="453" spans="2:10" x14ac:dyDescent="0.25">
      <c r="B453" s="13" t="s">
        <v>837</v>
      </c>
      <c r="H453" s="50" t="s">
        <v>1307</v>
      </c>
      <c r="I453" s="50" t="s">
        <v>1299</v>
      </c>
      <c r="J453" t="str">
        <f>IFERROR(VLOOKUP(Table35[[#This Row],[R&amp;D Tags]],H:H,1,FALSE), " ")</f>
        <v xml:space="preserve"> </v>
      </c>
    </row>
    <row r="454" spans="2:10" x14ac:dyDescent="0.25">
      <c r="B454" s="13" t="s">
        <v>1633</v>
      </c>
      <c r="H454" s="50" t="s">
        <v>1367</v>
      </c>
      <c r="I454" s="50" t="s">
        <v>1264</v>
      </c>
      <c r="J454" t="str">
        <f>IFERROR(VLOOKUP(Table35[[#This Row],[R&amp;D Tags]],H:H,1,FALSE), " ")</f>
        <v xml:space="preserve"> </v>
      </c>
    </row>
    <row r="455" spans="2:10" x14ac:dyDescent="0.25">
      <c r="B455" s="13" t="s">
        <v>376</v>
      </c>
      <c r="H455" s="50" t="s">
        <v>1201</v>
      </c>
      <c r="I455" s="50" t="s">
        <v>1347</v>
      </c>
      <c r="J455" t="str">
        <f>IFERROR(VLOOKUP(Table35[[#This Row],[R&amp;D Tags]],H:H,1,FALSE), " ")</f>
        <v xml:space="preserve"> </v>
      </c>
    </row>
    <row r="456" spans="2:10" x14ac:dyDescent="0.25">
      <c r="B456" s="13" t="s">
        <v>376</v>
      </c>
      <c r="H456" s="50" t="s">
        <v>1205</v>
      </c>
      <c r="I456" s="50" t="s">
        <v>1379</v>
      </c>
      <c r="J456" t="str">
        <f>IFERROR(VLOOKUP(Table35[[#This Row],[R&amp;D Tags]],H:H,1,FALSE), " ")</f>
        <v xml:space="preserve"> </v>
      </c>
    </row>
    <row r="457" spans="2:10" x14ac:dyDescent="0.25">
      <c r="B457" s="13" t="s">
        <v>881</v>
      </c>
      <c r="H457" s="50" t="s">
        <v>1205</v>
      </c>
      <c r="I457" s="50" t="s">
        <v>1383</v>
      </c>
      <c r="J457" t="str">
        <f>IFERROR(VLOOKUP(Table35[[#This Row],[R&amp;D Tags]],H:H,1,FALSE), " ")</f>
        <v xml:space="preserve"> </v>
      </c>
    </row>
    <row r="458" spans="2:10" x14ac:dyDescent="0.25">
      <c r="B458" s="20" t="s">
        <v>1634</v>
      </c>
      <c r="H458" s="50" t="s">
        <v>1271</v>
      </c>
      <c r="I458" s="50" t="s">
        <v>137</v>
      </c>
      <c r="J458" t="str">
        <f>IFERROR(VLOOKUP(Table35[[#This Row],[R&amp;D Tags]],H:H,1,FALSE), " ")</f>
        <v xml:space="preserve"> </v>
      </c>
    </row>
    <row r="459" spans="2:10" x14ac:dyDescent="0.25">
      <c r="B459" s="20" t="s">
        <v>1635</v>
      </c>
      <c r="H459" s="50" t="s">
        <v>1279</v>
      </c>
      <c r="I459" s="50" t="s">
        <v>1256</v>
      </c>
      <c r="J459" t="str">
        <f>IFERROR(VLOOKUP(Table35[[#This Row],[R&amp;D Tags]],H:H,1,FALSE), " ")</f>
        <v xml:space="preserve"> </v>
      </c>
    </row>
    <row r="460" spans="2:10" x14ac:dyDescent="0.25">
      <c r="B460" s="20" t="s">
        <v>1636</v>
      </c>
      <c r="H460" s="50" t="s">
        <v>206</v>
      </c>
      <c r="I460" s="50" t="s">
        <v>194</v>
      </c>
      <c r="J460" t="str">
        <f>IFERROR(VLOOKUP(Table35[[#This Row],[R&amp;D Tags]],H:H,1,FALSE), " ")</f>
        <v xml:space="preserve"> </v>
      </c>
    </row>
    <row r="461" spans="2:10" x14ac:dyDescent="0.25">
      <c r="B461" s="20" t="s">
        <v>1637</v>
      </c>
      <c r="H461" s="50" t="s">
        <v>203</v>
      </c>
      <c r="I461" s="50" t="s">
        <v>188</v>
      </c>
      <c r="J461" t="str">
        <f>IFERROR(VLOOKUP(Table35[[#This Row],[R&amp;D Tags]],H:H,1,FALSE), " ")</f>
        <v xml:space="preserve"> </v>
      </c>
    </row>
    <row r="462" spans="2:10" x14ac:dyDescent="0.25">
      <c r="B462" s="20" t="s">
        <v>1638</v>
      </c>
      <c r="H462" s="50" t="s">
        <v>215</v>
      </c>
      <c r="I462" s="50" t="s">
        <v>191</v>
      </c>
      <c r="J462" t="str">
        <f>IFERROR(VLOOKUP(Table35[[#This Row],[R&amp;D Tags]],H:H,1,FALSE), " ")</f>
        <v xml:space="preserve"> </v>
      </c>
    </row>
    <row r="463" spans="2:10" x14ac:dyDescent="0.25">
      <c r="B463" s="19" t="s">
        <v>368</v>
      </c>
      <c r="H463" s="50" t="s">
        <v>240</v>
      </c>
      <c r="I463" s="50" t="s">
        <v>1237</v>
      </c>
      <c r="J463" t="str">
        <f>IFERROR(VLOOKUP(Table35[[#This Row],[R&amp;D Tags]],H:H,1,FALSE), " ")</f>
        <v xml:space="preserve"> </v>
      </c>
    </row>
    <row r="464" spans="2:10" x14ac:dyDescent="0.25">
      <c r="B464" s="13" t="s">
        <v>326</v>
      </c>
      <c r="H464" s="50" t="s">
        <v>1148</v>
      </c>
      <c r="I464" s="50" t="s">
        <v>1429</v>
      </c>
      <c r="J464" t="str">
        <f>IFERROR(VLOOKUP(Table35[[#This Row],[R&amp;D Tags]],H:H,1,FALSE), " ")</f>
        <v xml:space="preserve"> </v>
      </c>
    </row>
    <row r="465" spans="2:10" x14ac:dyDescent="0.25">
      <c r="B465" s="13" t="s">
        <v>260</v>
      </c>
      <c r="H465" s="50" t="s">
        <v>134</v>
      </c>
      <c r="I465" s="50" t="s">
        <v>697</v>
      </c>
      <c r="J465" t="str">
        <f>IFERROR(VLOOKUP(Table35[[#This Row],[R&amp;D Tags]],H:H,1,FALSE), " ")</f>
        <v xml:space="preserve"> </v>
      </c>
    </row>
    <row r="466" spans="2:10" x14ac:dyDescent="0.25">
      <c r="B466" s="19" t="s">
        <v>260</v>
      </c>
      <c r="H466" s="50" t="s">
        <v>1099</v>
      </c>
      <c r="I466" s="50" t="s">
        <v>1411</v>
      </c>
      <c r="J466" t="str">
        <f>IFERROR(VLOOKUP(Table35[[#This Row],[R&amp;D Tags]],H:H,1,FALSE), " ")</f>
        <v xml:space="preserve"> </v>
      </c>
    </row>
    <row r="467" spans="2:10" x14ac:dyDescent="0.25">
      <c r="B467" s="20" t="s">
        <v>1639</v>
      </c>
      <c r="H467" s="50" t="s">
        <v>1103</v>
      </c>
      <c r="I467" s="50" t="s">
        <v>1445</v>
      </c>
      <c r="J467" t="str">
        <f>IFERROR(VLOOKUP(Table35[[#This Row],[R&amp;D Tags]],H:H,1,FALSE), " ")</f>
        <v xml:space="preserve"> </v>
      </c>
    </row>
    <row r="468" spans="2:10" x14ac:dyDescent="0.25">
      <c r="B468" s="20" t="s">
        <v>1640</v>
      </c>
      <c r="H468" s="50" t="s">
        <v>1111</v>
      </c>
      <c r="I468" s="50" t="s">
        <v>1423</v>
      </c>
      <c r="J468" t="str">
        <f>IFERROR(VLOOKUP(Table35[[#This Row],[R&amp;D Tags]],H:H,1,FALSE), " ")</f>
        <v xml:space="preserve"> </v>
      </c>
    </row>
    <row r="469" spans="2:10" x14ac:dyDescent="0.25">
      <c r="B469" s="20" t="s">
        <v>1641</v>
      </c>
      <c r="H469" s="50" t="s">
        <v>1107</v>
      </c>
      <c r="I469" s="50" t="s">
        <v>1415</v>
      </c>
      <c r="J469" t="str">
        <f>IFERROR(VLOOKUP(Table35[[#This Row],[R&amp;D Tags]],H:H,1,FALSE), " ")</f>
        <v xml:space="preserve"> </v>
      </c>
    </row>
    <row r="470" spans="2:10" x14ac:dyDescent="0.25">
      <c r="B470" s="20" t="s">
        <v>1642</v>
      </c>
      <c r="H470" s="50" t="s">
        <v>34</v>
      </c>
      <c r="I470" s="50" t="s">
        <v>429</v>
      </c>
      <c r="J470" t="str">
        <f>IFERROR(VLOOKUP(Table35[[#This Row],[R&amp;D Tags]],H:H,1,FALSE), " ")</f>
        <v xml:space="preserve"> </v>
      </c>
    </row>
    <row r="471" spans="2:10" x14ac:dyDescent="0.25">
      <c r="B471" s="19" t="s">
        <v>364</v>
      </c>
      <c r="H471" s="50" t="s">
        <v>1135</v>
      </c>
      <c r="I471" s="50" t="s">
        <v>146</v>
      </c>
      <c r="J471" t="str">
        <f>IFERROR(VLOOKUP(Table35[[#This Row],[R&amp;D Tags]],H:H,1,FALSE), " ")</f>
        <v xml:space="preserve"> </v>
      </c>
    </row>
    <row r="472" spans="2:10" x14ac:dyDescent="0.25">
      <c r="B472" s="19" t="s">
        <v>372</v>
      </c>
      <c r="H472" s="50" t="s">
        <v>749</v>
      </c>
      <c r="I472" s="50" t="s">
        <v>645</v>
      </c>
      <c r="J472" t="str">
        <f>IFERROR(VLOOKUP(Table35[[#This Row],[R&amp;D Tags]],H:H,1,FALSE), " ")</f>
        <v xml:space="preserve"> </v>
      </c>
    </row>
    <row r="473" spans="2:10" x14ac:dyDescent="0.25">
      <c r="B473" s="19" t="s">
        <v>268</v>
      </c>
      <c r="H473" s="50" t="s">
        <v>322</v>
      </c>
      <c r="I473" s="50" t="s">
        <v>494</v>
      </c>
      <c r="J473" t="str">
        <f>IFERROR(VLOOKUP(Table35[[#This Row],[R&amp;D Tags]],H:H,1,FALSE), " ")</f>
        <v xml:space="preserve"> </v>
      </c>
    </row>
    <row r="474" spans="2:10" x14ac:dyDescent="0.25">
      <c r="B474" s="13" t="s">
        <v>1224</v>
      </c>
      <c r="H474" s="50" t="s">
        <v>713</v>
      </c>
      <c r="I474" s="50" t="s">
        <v>625</v>
      </c>
      <c r="J474" t="str">
        <f>IFERROR(VLOOKUP(Table35[[#This Row],[R&amp;D Tags]],H:H,1,FALSE), " ")</f>
        <v xml:space="preserve"> </v>
      </c>
    </row>
    <row r="475" spans="2:10" x14ac:dyDescent="0.25">
      <c r="B475" s="39" t="s">
        <v>1643</v>
      </c>
      <c r="H475" s="50" t="s">
        <v>306</v>
      </c>
      <c r="I475" s="50" t="s">
        <v>633</v>
      </c>
      <c r="J475" t="str">
        <f>IFERROR(VLOOKUP(Table35[[#This Row],[R&amp;D Tags]],H:H,1,FALSE), " ")</f>
        <v xml:space="preserve"> </v>
      </c>
    </row>
    <row r="476" spans="2:10" x14ac:dyDescent="0.25">
      <c r="B476" s="13" t="s">
        <v>1644</v>
      </c>
      <c r="H476" s="50" t="s">
        <v>693</v>
      </c>
      <c r="I476" s="50" t="s">
        <v>653</v>
      </c>
      <c r="J476" t="str">
        <f>IFERROR(VLOOKUP(Table35[[#This Row],[R&amp;D Tags]],H:H,1,FALSE), " ")</f>
        <v xml:space="preserve"> </v>
      </c>
    </row>
    <row r="477" spans="2:10" x14ac:dyDescent="0.25">
      <c r="B477" s="13" t="s">
        <v>1645</v>
      </c>
      <c r="H477" s="50" t="s">
        <v>717</v>
      </c>
      <c r="I477" s="50" t="s">
        <v>401</v>
      </c>
      <c r="J477" t="str">
        <f>IFERROR(VLOOKUP(Table35[[#This Row],[R&amp;D Tags]],H:H,1,FALSE), " ")</f>
        <v xml:space="preserve"> </v>
      </c>
    </row>
    <row r="478" spans="2:10" x14ac:dyDescent="0.25">
      <c r="B478" s="13" t="s">
        <v>1645</v>
      </c>
      <c r="H478" s="50" t="s">
        <v>314</v>
      </c>
      <c r="I478" s="50" t="s">
        <v>817</v>
      </c>
      <c r="J478" t="str">
        <f>IFERROR(VLOOKUP(Table35[[#This Row],[R&amp;D Tags]],H:H,1,FALSE), " ")</f>
        <v xml:space="preserve"> </v>
      </c>
    </row>
    <row r="479" spans="2:10" ht="15.75" x14ac:dyDescent="0.25">
      <c r="B479" s="24" t="s">
        <v>1646</v>
      </c>
      <c r="H479" s="50" t="s">
        <v>437</v>
      </c>
      <c r="I479" s="50" t="s">
        <v>821</v>
      </c>
      <c r="J479" t="str">
        <f>IFERROR(VLOOKUP(Table35[[#This Row],[R&amp;D Tags]],H:H,1,FALSE), " ")</f>
        <v xml:space="preserve"> </v>
      </c>
    </row>
    <row r="480" spans="2:10" x14ac:dyDescent="0.25">
      <c r="B480" s="13" t="s">
        <v>1647</v>
      </c>
      <c r="H480" s="50" t="s">
        <v>264</v>
      </c>
      <c r="I480" s="50" t="s">
        <v>974</v>
      </c>
      <c r="J480" t="str">
        <f>IFERROR(VLOOKUP(Table35[[#This Row],[R&amp;D Tags]],H:H,1,FALSE), " ")</f>
        <v xml:space="preserve"> </v>
      </c>
    </row>
    <row r="481" spans="2:10" ht="30" x14ac:dyDescent="0.25">
      <c r="B481" s="12" t="s">
        <v>1648</v>
      </c>
      <c r="H481" s="50" t="s">
        <v>384</v>
      </c>
      <c r="I481" s="50" t="s">
        <v>1427</v>
      </c>
      <c r="J481" t="str">
        <f>IFERROR(VLOOKUP(Table35[[#This Row],[R&amp;D Tags]],H:H,1,FALSE), " ")</f>
        <v xml:space="preserve"> </v>
      </c>
    </row>
    <row r="482" spans="2:10" ht="30" x14ac:dyDescent="0.25">
      <c r="B482" s="12" t="s">
        <v>1648</v>
      </c>
      <c r="H482" s="50" t="s">
        <v>103</v>
      </c>
      <c r="I482" s="50" t="s">
        <v>88</v>
      </c>
      <c r="J482" t="str">
        <f>IFERROR(VLOOKUP(Table35[[#This Row],[R&amp;D Tags]],H:H,1,FALSE), " ")</f>
        <v xml:space="preserve"> </v>
      </c>
    </row>
    <row r="483" spans="2:10" ht="45" x14ac:dyDescent="0.25">
      <c r="B483" s="22" t="s">
        <v>1649</v>
      </c>
      <c r="H483" s="50" t="s">
        <v>107</v>
      </c>
      <c r="I483" s="50" t="s">
        <v>84</v>
      </c>
      <c r="J483" t="str">
        <f>IFERROR(VLOOKUP(Table35[[#This Row],[R&amp;D Tags]],H:H,1,FALSE), " ")</f>
        <v xml:space="preserve"> </v>
      </c>
    </row>
    <row r="484" spans="2:10" ht="30" x14ac:dyDescent="0.25">
      <c r="B484" s="9" t="s">
        <v>1650</v>
      </c>
      <c r="H484" s="50" t="s">
        <v>118</v>
      </c>
      <c r="I484" s="50" t="s">
        <v>441</v>
      </c>
      <c r="J484" t="str">
        <f>IFERROR(VLOOKUP(Table35[[#This Row],[R&amp;D Tags]],H:H,1,FALSE), " ")</f>
        <v xml:space="preserve"> </v>
      </c>
    </row>
    <row r="485" spans="2:10" ht="30" x14ac:dyDescent="0.25">
      <c r="B485" s="9" t="s">
        <v>1650</v>
      </c>
      <c r="H485" s="50" t="s">
        <v>120</v>
      </c>
      <c r="I485" s="50" t="s">
        <v>331</v>
      </c>
      <c r="J485" t="str">
        <f>IFERROR(VLOOKUP(Table35[[#This Row],[R&amp;D Tags]],H:H,1,FALSE), " ")</f>
        <v xml:space="preserve"> </v>
      </c>
    </row>
    <row r="486" spans="2:10" ht="30" x14ac:dyDescent="0.25">
      <c r="B486" s="12" t="s">
        <v>1651</v>
      </c>
      <c r="H486" s="50" t="s">
        <v>124</v>
      </c>
      <c r="I486" s="50" t="s">
        <v>1391</v>
      </c>
      <c r="J486" t="str">
        <f>IFERROR(VLOOKUP(Table35[[#This Row],[R&amp;D Tags]],H:H,1,FALSE), " ")</f>
        <v xml:space="preserve"> </v>
      </c>
    </row>
    <row r="487" spans="2:10" x14ac:dyDescent="0.25">
      <c r="B487" s="13" t="s">
        <v>1209</v>
      </c>
      <c r="H487" s="50" t="s">
        <v>568</v>
      </c>
      <c r="I487" s="50" t="s">
        <v>73</v>
      </c>
      <c r="J487" t="str">
        <f>IFERROR(VLOOKUP(Table35[[#This Row],[R&amp;D Tags]],H:H,1,FALSE), " ")</f>
        <v xml:space="preserve"> </v>
      </c>
    </row>
    <row r="488" spans="2:10" x14ac:dyDescent="0.25">
      <c r="B488" s="13" t="s">
        <v>1652</v>
      </c>
      <c r="H488" s="50" t="s">
        <v>539</v>
      </c>
      <c r="I488" s="50" t="s">
        <v>25</v>
      </c>
      <c r="J488" t="str">
        <f>IFERROR(VLOOKUP(Table35[[#This Row],[R&amp;D Tags]],H:H,1,FALSE), " ")</f>
        <v xml:space="preserve"> </v>
      </c>
    </row>
    <row r="489" spans="2:10" ht="30" x14ac:dyDescent="0.25">
      <c r="B489" s="12" t="s">
        <v>1653</v>
      </c>
      <c r="H489" s="50" t="s">
        <v>543</v>
      </c>
      <c r="I489" s="50" t="s">
        <v>17</v>
      </c>
      <c r="J489" t="str">
        <f>IFERROR(VLOOKUP(Table35[[#This Row],[R&amp;D Tags]],H:H,1,FALSE), " ")</f>
        <v xml:space="preserve"> </v>
      </c>
    </row>
    <row r="490" spans="2:10" ht="30" x14ac:dyDescent="0.25">
      <c r="B490" s="8" t="s">
        <v>1654</v>
      </c>
      <c r="H490" s="50" t="s">
        <v>527</v>
      </c>
      <c r="I490" s="50" t="s">
        <v>21</v>
      </c>
      <c r="J490" t="str">
        <f>IFERROR(VLOOKUP(Table35[[#This Row],[R&amp;D Tags]],H:H,1,FALSE), " ")</f>
        <v xml:space="preserve"> </v>
      </c>
    </row>
    <row r="491" spans="2:10" ht="60" x14ac:dyDescent="0.25">
      <c r="B491" s="9" t="s">
        <v>1655</v>
      </c>
      <c r="H491" s="50" t="s">
        <v>515</v>
      </c>
      <c r="I491" s="50" t="s">
        <v>55</v>
      </c>
      <c r="J491" t="str">
        <f>IFERROR(VLOOKUP(Table35[[#This Row],[R&amp;D Tags]],H:H,1,FALSE), " ")</f>
        <v xml:space="preserve"> </v>
      </c>
    </row>
    <row r="492" spans="2:10" x14ac:dyDescent="0.25">
      <c r="B492" s="18" t="s">
        <v>1656</v>
      </c>
      <c r="H492" s="50" t="s">
        <v>511</v>
      </c>
      <c r="I492" s="50" t="s">
        <v>47</v>
      </c>
      <c r="J492" t="str">
        <f>IFERROR(VLOOKUP(Table35[[#This Row],[R&amp;D Tags]],H:H,1,FALSE), " ")</f>
        <v xml:space="preserve"> </v>
      </c>
    </row>
    <row r="493" spans="2:10" x14ac:dyDescent="0.25">
      <c r="B493" s="19" t="s">
        <v>1657</v>
      </c>
      <c r="H493" s="50" t="s">
        <v>564</v>
      </c>
      <c r="I493" s="50" t="s">
        <v>397</v>
      </c>
      <c r="J493" t="str">
        <f>IFERROR(VLOOKUP(Table35[[#This Row],[R&amp;D Tags]],H:H,1,FALSE), " ")</f>
        <v xml:space="preserve"> </v>
      </c>
    </row>
    <row r="494" spans="2:10" x14ac:dyDescent="0.25">
      <c r="B494" s="19" t="s">
        <v>1657</v>
      </c>
      <c r="H494" s="50" t="s">
        <v>535</v>
      </c>
      <c r="I494" s="50" t="s">
        <v>393</v>
      </c>
      <c r="J494" t="str">
        <f>IFERROR(VLOOKUP(Table35[[#This Row],[R&amp;D Tags]],H:H,1,FALSE), " ")</f>
        <v xml:space="preserve"> </v>
      </c>
    </row>
    <row r="495" spans="2:10" x14ac:dyDescent="0.25">
      <c r="B495" s="19" t="s">
        <v>256</v>
      </c>
      <c r="H495" s="50" t="s">
        <v>585</v>
      </c>
      <c r="J495" t="str">
        <f>IFERROR(VLOOKUP(Table35[[#This Row],[R&amp;D Tags]],H:H,1,FALSE), " ")</f>
        <v xml:space="preserve"> </v>
      </c>
    </row>
    <row r="496" spans="2:10" x14ac:dyDescent="0.25">
      <c r="B496" s="19" t="s">
        <v>252</v>
      </c>
      <c r="H496" s="50" t="s">
        <v>580</v>
      </c>
      <c r="J496" t="str">
        <f>IFERROR(VLOOKUP(Table35[[#This Row],[R&amp;D Tags]],H:H,1,FALSE), " ")</f>
        <v xml:space="preserve"> </v>
      </c>
    </row>
    <row r="497" spans="2:10" x14ac:dyDescent="0.25">
      <c r="B497" s="10" t="s">
        <v>13</v>
      </c>
      <c r="H497" s="50" t="s">
        <v>597</v>
      </c>
      <c r="J497" t="str">
        <f>IFERROR(VLOOKUP(Table35[[#This Row],[R&amp;D Tags]],H:H,1,FALSE), " ")</f>
        <v xml:space="preserve"> </v>
      </c>
    </row>
    <row r="498" spans="2:10" ht="30" x14ac:dyDescent="0.25">
      <c r="B498" s="13" t="s">
        <v>1658</v>
      </c>
      <c r="H498" s="50" t="s">
        <v>555</v>
      </c>
      <c r="J498" t="str">
        <f>IFERROR(VLOOKUP(Table35[[#This Row],[R&amp;D Tags]],H:H,1,FALSE), " ")</f>
        <v xml:space="preserve"> </v>
      </c>
    </row>
    <row r="499" spans="2:10" ht="30" x14ac:dyDescent="0.25">
      <c r="B499" s="9" t="s">
        <v>1659</v>
      </c>
      <c r="H499" s="50" t="s">
        <v>551</v>
      </c>
      <c r="J499" t="str">
        <f>IFERROR(VLOOKUP(Table35[[#This Row],[R&amp;D Tags]],H:H,1,FALSE), " ")</f>
        <v xml:space="preserve"> </v>
      </c>
    </row>
    <row r="500" spans="2:10" ht="30" x14ac:dyDescent="0.25">
      <c r="B500" s="9" t="s">
        <v>1660</v>
      </c>
      <c r="H500" s="50" t="s">
        <v>572</v>
      </c>
      <c r="J500" t="str">
        <f>IFERROR(VLOOKUP(Table35[[#This Row],[R&amp;D Tags]],H:H,1,FALSE), " ")</f>
        <v xml:space="preserve"> </v>
      </c>
    </row>
    <row r="501" spans="2:10" ht="45" x14ac:dyDescent="0.25">
      <c r="B501" s="7" t="s">
        <v>1661</v>
      </c>
      <c r="H501" s="50" t="s">
        <v>547</v>
      </c>
      <c r="J501" t="str">
        <f>IFERROR(VLOOKUP(Table35[[#This Row],[R&amp;D Tags]],H:H,1,FALSE), " ")</f>
        <v xml:space="preserve"> </v>
      </c>
    </row>
    <row r="502" spans="2:10" ht="47.25" x14ac:dyDescent="0.25">
      <c r="B502" s="17" t="s">
        <v>1662</v>
      </c>
      <c r="H502" s="50" t="s">
        <v>531</v>
      </c>
      <c r="J502" t="str">
        <f>IFERROR(VLOOKUP(Table35[[#This Row],[R&amp;D Tags]],H:H,1,FALSE), " ")</f>
        <v xml:space="preserve"> </v>
      </c>
    </row>
    <row r="503" spans="2:10" ht="47.25" x14ac:dyDescent="0.25">
      <c r="B503" s="17" t="s">
        <v>1663</v>
      </c>
      <c r="H503" s="50" t="s">
        <v>560</v>
      </c>
      <c r="J503" t="str">
        <f>IFERROR(VLOOKUP(Table35[[#This Row],[R&amp;D Tags]],H:H,1,FALSE), " ")</f>
        <v xml:space="preserve"> </v>
      </c>
    </row>
    <row r="504" spans="2:10" ht="47.25" x14ac:dyDescent="0.25">
      <c r="B504" s="17" t="s">
        <v>1664</v>
      </c>
      <c r="H504" s="50" t="s">
        <v>576</v>
      </c>
      <c r="J504" t="str">
        <f>IFERROR(VLOOKUP(Table35[[#This Row],[R&amp;D Tags]],H:H,1,FALSE), " ")</f>
        <v xml:space="preserve"> </v>
      </c>
    </row>
    <row r="505" spans="2:10" ht="31.5" x14ac:dyDescent="0.25">
      <c r="B505" s="17" t="s">
        <v>1665</v>
      </c>
      <c r="H505" s="50" t="s">
        <v>589</v>
      </c>
      <c r="J505" t="str">
        <f>IFERROR(VLOOKUP(Table35[[#This Row],[R&amp;D Tags]],H:H,1,FALSE), " ")</f>
        <v xml:space="preserve"> </v>
      </c>
    </row>
    <row r="506" spans="2:10" ht="47.25" x14ac:dyDescent="0.25">
      <c r="B506" s="17" t="s">
        <v>1666</v>
      </c>
      <c r="H506" s="50" t="s">
        <v>934</v>
      </c>
      <c r="J506" t="str">
        <f>IFERROR(VLOOKUP(Table35[[#This Row],[R&amp;D Tags]],H:H,1,FALSE), " ")</f>
        <v xml:space="preserve"> </v>
      </c>
    </row>
    <row r="507" spans="2:10" ht="47.25" x14ac:dyDescent="0.25">
      <c r="B507" s="17" t="s">
        <v>1667</v>
      </c>
      <c r="H507" s="50" t="s">
        <v>905</v>
      </c>
      <c r="J507" t="str">
        <f>IFERROR(VLOOKUP(Table35[[#This Row],[R&amp;D Tags]],H:H,1,FALSE), " ")</f>
        <v xml:space="preserve"> </v>
      </c>
    </row>
    <row r="508" spans="2:10" ht="30" x14ac:dyDescent="0.25">
      <c r="B508" s="8" t="s">
        <v>1668</v>
      </c>
      <c r="H508" s="50" t="s">
        <v>661</v>
      </c>
      <c r="J508" t="str">
        <f>IFERROR(VLOOKUP(Table35[[#This Row],[R&amp;D Tags]],H:H,1,FALSE), " ")</f>
        <v xml:space="preserve"> </v>
      </c>
    </row>
    <row r="509" spans="2:10" x14ac:dyDescent="0.25">
      <c r="B509" s="13" t="s">
        <v>1669</v>
      </c>
      <c r="H509" s="50" t="s">
        <v>661</v>
      </c>
      <c r="J509" t="str">
        <f>IFERROR(VLOOKUP(Table35[[#This Row],[R&amp;D Tags]],H:H,1,FALSE), " ")</f>
        <v xml:space="preserve"> </v>
      </c>
    </row>
    <row r="510" spans="2:10" ht="63" x14ac:dyDescent="0.25">
      <c r="B510" s="14" t="s">
        <v>1670</v>
      </c>
      <c r="H510" s="50" t="s">
        <v>921</v>
      </c>
      <c r="J510" t="str">
        <f>IFERROR(VLOOKUP(Table35[[#This Row],[R&amp;D Tags]],H:H,1,FALSE), " ")</f>
        <v xml:space="preserve"> </v>
      </c>
    </row>
    <row r="511" spans="2:10" ht="30" x14ac:dyDescent="0.25">
      <c r="B511" s="12" t="s">
        <v>1671</v>
      </c>
      <c r="H511" s="50" t="s">
        <v>869</v>
      </c>
      <c r="J511" t="str">
        <f>IFERROR(VLOOKUP(Table35[[#This Row],[R&amp;D Tags]],H:H,1,FALSE), " ")</f>
        <v xml:space="preserve"> </v>
      </c>
    </row>
    <row r="512" spans="2:10" ht="94.5" x14ac:dyDescent="0.25">
      <c r="B512" s="11" t="s">
        <v>1672</v>
      </c>
      <c r="H512" s="50" t="s">
        <v>873</v>
      </c>
      <c r="J512" t="str">
        <f>IFERROR(VLOOKUP(Table35[[#This Row],[R&amp;D Tags]],H:H,1,FALSE), " ")</f>
        <v xml:space="preserve"> </v>
      </c>
    </row>
    <row r="513" spans="2:10" ht="63" x14ac:dyDescent="0.25">
      <c r="B513" s="14" t="s">
        <v>1673</v>
      </c>
      <c r="H513" s="50" t="s">
        <v>841</v>
      </c>
      <c r="J513" t="str">
        <f>IFERROR(VLOOKUP(Table35[[#This Row],[R&amp;D Tags]],H:H,1,FALSE), " ")</f>
        <v xml:space="preserve"> </v>
      </c>
    </row>
    <row r="514" spans="2:10" x14ac:dyDescent="0.25">
      <c r="B514" s="13" t="s">
        <v>893</v>
      </c>
      <c r="H514" s="50" t="s">
        <v>845</v>
      </c>
      <c r="J514" t="str">
        <f>IFERROR(VLOOKUP(Table35[[#This Row],[R&amp;D Tags]],H:H,1,FALSE), " ")</f>
        <v xml:space="preserve"> </v>
      </c>
    </row>
    <row r="515" spans="2:10" x14ac:dyDescent="0.25">
      <c r="B515" s="13" t="s">
        <v>897</v>
      </c>
      <c r="H515" s="50" t="s">
        <v>849</v>
      </c>
      <c r="J515" t="str">
        <f>IFERROR(VLOOKUP(Table35[[#This Row],[R&amp;D Tags]],H:H,1,FALSE), " ")</f>
        <v xml:space="preserve"> </v>
      </c>
    </row>
    <row r="516" spans="2:10" x14ac:dyDescent="0.25">
      <c r="B516" s="13" t="s">
        <v>901</v>
      </c>
      <c r="H516" s="50" t="s">
        <v>853</v>
      </c>
      <c r="J516" t="str">
        <f>IFERROR(VLOOKUP(Table35[[#This Row],[R&amp;D Tags]],H:H,1,FALSE), " ")</f>
        <v xml:space="preserve"> </v>
      </c>
    </row>
    <row r="517" spans="2:10" x14ac:dyDescent="0.25">
      <c r="B517" s="13" t="s">
        <v>996</v>
      </c>
      <c r="H517" s="50" t="s">
        <v>857</v>
      </c>
      <c r="J517" t="str">
        <f>IFERROR(VLOOKUP(Table35[[#This Row],[R&amp;D Tags]],H:H,1,FALSE), " ")</f>
        <v xml:space="preserve"> </v>
      </c>
    </row>
    <row r="518" spans="2:10" x14ac:dyDescent="0.25">
      <c r="B518" s="13" t="s">
        <v>992</v>
      </c>
      <c r="H518" s="50" t="s">
        <v>861</v>
      </c>
      <c r="J518" t="str">
        <f>IFERROR(VLOOKUP(Table35[[#This Row],[R&amp;D Tags]],H:H,1,FALSE), " ")</f>
        <v xml:space="preserve"> </v>
      </c>
    </row>
    <row r="519" spans="2:10" x14ac:dyDescent="0.25">
      <c r="B519" s="13" t="s">
        <v>1000</v>
      </c>
      <c r="H519" s="50" t="s">
        <v>865</v>
      </c>
      <c r="J519" t="str">
        <f>IFERROR(VLOOKUP(Table35[[#This Row],[R&amp;D Tags]],H:H,1,FALSE), " ")</f>
        <v xml:space="preserve"> </v>
      </c>
    </row>
    <row r="520" spans="2:10" x14ac:dyDescent="0.25">
      <c r="B520" s="13" t="s">
        <v>980</v>
      </c>
      <c r="H520" s="50" t="s">
        <v>909</v>
      </c>
      <c r="J520" t="str">
        <f>IFERROR(VLOOKUP(Table35[[#This Row],[R&amp;D Tags]],H:H,1,FALSE), " ")</f>
        <v xml:space="preserve"> </v>
      </c>
    </row>
    <row r="521" spans="2:10" x14ac:dyDescent="0.25">
      <c r="B521" s="13" t="s">
        <v>984</v>
      </c>
      <c r="H521" s="50" t="s">
        <v>669</v>
      </c>
      <c r="J521" t="str">
        <f>IFERROR(VLOOKUP(Table35[[#This Row],[R&amp;D Tags]],H:H,1,FALSE), " ")</f>
        <v xml:space="preserve"> </v>
      </c>
    </row>
    <row r="522" spans="2:10" x14ac:dyDescent="0.25">
      <c r="B522" s="13" t="s">
        <v>938</v>
      </c>
      <c r="H522" s="50" t="s">
        <v>669</v>
      </c>
      <c r="J522" t="str">
        <f>IFERROR(VLOOKUP(Table35[[#This Row],[R&amp;D Tags]],H:H,1,FALSE), " ")</f>
        <v xml:space="preserve"> </v>
      </c>
    </row>
    <row r="523" spans="2:10" x14ac:dyDescent="0.25">
      <c r="B523" s="13" t="s">
        <v>946</v>
      </c>
      <c r="H523" s="50" t="s">
        <v>1024</v>
      </c>
      <c r="J523" t="str">
        <f>IFERROR(VLOOKUP(Table35[[#This Row],[R&amp;D Tags]],H:H,1,FALSE), " ")</f>
        <v xml:space="preserve"> </v>
      </c>
    </row>
    <row r="524" spans="2:10" x14ac:dyDescent="0.25">
      <c r="B524" s="13" t="s">
        <v>988</v>
      </c>
      <c r="H524" s="50" t="s">
        <v>885</v>
      </c>
      <c r="J524" t="str">
        <f>IFERROR(VLOOKUP(Table35[[#This Row],[R&amp;D Tags]],H:H,1,FALSE), " ")</f>
        <v xml:space="preserve"> </v>
      </c>
    </row>
    <row r="525" spans="2:10" x14ac:dyDescent="0.25">
      <c r="B525" s="13" t="s">
        <v>1008</v>
      </c>
      <c r="H525" s="50" t="s">
        <v>925</v>
      </c>
      <c r="J525" t="str">
        <f>IFERROR(VLOOKUP(Table35[[#This Row],[R&amp;D Tags]],H:H,1,FALSE), " ")</f>
        <v xml:space="preserve"> </v>
      </c>
    </row>
    <row r="526" spans="2:10" x14ac:dyDescent="0.25">
      <c r="B526" s="13" t="s">
        <v>1012</v>
      </c>
      <c r="H526" s="50" t="s">
        <v>673</v>
      </c>
      <c r="J526" t="str">
        <f>IFERROR(VLOOKUP(Table35[[#This Row],[R&amp;D Tags]],H:H,1,FALSE), " ")</f>
        <v xml:space="preserve"> </v>
      </c>
    </row>
    <row r="527" spans="2:10" x14ac:dyDescent="0.25">
      <c r="B527" s="13" t="s">
        <v>1004</v>
      </c>
      <c r="H527" s="50" t="s">
        <v>929</v>
      </c>
      <c r="J527" t="str">
        <f>IFERROR(VLOOKUP(Table35[[#This Row],[R&amp;D Tags]],H:H,1,FALSE), " ")</f>
        <v xml:space="preserve"> </v>
      </c>
    </row>
    <row r="528" spans="2:10" x14ac:dyDescent="0.25">
      <c r="B528" s="13" t="s">
        <v>1016</v>
      </c>
      <c r="H528" s="50" t="s">
        <v>829</v>
      </c>
      <c r="J528" t="str">
        <f>IFERROR(VLOOKUP(Table35[[#This Row],[R&amp;D Tags]],H:H,1,FALSE), " ")</f>
        <v xml:space="preserve"> </v>
      </c>
    </row>
    <row r="529" spans="2:10" x14ac:dyDescent="0.25">
      <c r="B529" s="13" t="s">
        <v>1020</v>
      </c>
      <c r="H529" s="50" t="s">
        <v>833</v>
      </c>
      <c r="J529" t="str">
        <f>IFERROR(VLOOKUP(Table35[[#This Row],[R&amp;D Tags]],H:H,1,FALSE), " ")</f>
        <v xml:space="preserve"> </v>
      </c>
    </row>
    <row r="530" spans="2:10" x14ac:dyDescent="0.25">
      <c r="B530" s="13" t="s">
        <v>1028</v>
      </c>
      <c r="H530" s="50" t="s">
        <v>677</v>
      </c>
      <c r="J530" t="str">
        <f>IFERROR(VLOOKUP(Table35[[#This Row],[R&amp;D Tags]],H:H,1,FALSE), " ")</f>
        <v xml:space="preserve"> </v>
      </c>
    </row>
    <row r="531" spans="2:10" x14ac:dyDescent="0.25">
      <c r="B531" s="13" t="s">
        <v>942</v>
      </c>
      <c r="H531" s="50" t="s">
        <v>877</v>
      </c>
      <c r="J531" t="str">
        <f>IFERROR(VLOOKUP(Table35[[#This Row],[R&amp;D Tags]],H:H,1,FALSE), " ")</f>
        <v xml:space="preserve"> </v>
      </c>
    </row>
    <row r="532" spans="2:10" x14ac:dyDescent="0.25">
      <c r="B532" s="13" t="s">
        <v>950</v>
      </c>
      <c r="H532" s="50" t="s">
        <v>825</v>
      </c>
      <c r="J532" t="str">
        <f>IFERROR(VLOOKUP(Table35[[#This Row],[R&amp;D Tags]],H:H,1,FALSE), " ")</f>
        <v xml:space="preserve"> </v>
      </c>
    </row>
    <row r="533" spans="2:10" x14ac:dyDescent="0.25">
      <c r="B533" s="13" t="s">
        <v>954</v>
      </c>
      <c r="H533" s="50" t="s">
        <v>837</v>
      </c>
      <c r="J533" t="str">
        <f>IFERROR(VLOOKUP(Table35[[#This Row],[R&amp;D Tags]],H:H,1,FALSE), " ")</f>
        <v xml:space="preserve"> </v>
      </c>
    </row>
    <row r="534" spans="2:10" ht="15.75" x14ac:dyDescent="0.25">
      <c r="B534" s="16" t="s">
        <v>38</v>
      </c>
      <c r="H534" s="50" t="s">
        <v>376</v>
      </c>
      <c r="J534" t="str">
        <f>IFERROR(VLOOKUP(Table35[[#This Row],[R&amp;D Tags]],H:H,1,FALSE), " ")</f>
        <v xml:space="preserve"> </v>
      </c>
    </row>
    <row r="535" spans="2:10" ht="15.75" x14ac:dyDescent="0.25">
      <c r="B535" s="11" t="s">
        <v>1674</v>
      </c>
      <c r="H535" s="50" t="s">
        <v>376</v>
      </c>
      <c r="J535" t="str">
        <f>IFERROR(VLOOKUP(Table35[[#This Row],[R&amp;D Tags]],H:H,1,FALSE), " ")</f>
        <v xml:space="preserve"> </v>
      </c>
    </row>
    <row r="536" spans="2:10" x14ac:dyDescent="0.25">
      <c r="B536" s="19" t="s">
        <v>59</v>
      </c>
      <c r="H536" s="50" t="s">
        <v>881</v>
      </c>
      <c r="J536" t="str">
        <f>IFERROR(VLOOKUP(Table35[[#This Row],[R&amp;D Tags]],H:H,1,FALSE), " ")</f>
        <v xml:space="preserve"> </v>
      </c>
    </row>
    <row r="537" spans="2:10" x14ac:dyDescent="0.25">
      <c r="B537" s="13" t="s">
        <v>1675</v>
      </c>
      <c r="H537" s="50" t="s">
        <v>368</v>
      </c>
      <c r="J537" t="str">
        <f>IFERROR(VLOOKUP(Table35[[#This Row],[R&amp;D Tags]],H:H,1,FALSE), " ")</f>
        <v xml:space="preserve"> </v>
      </c>
    </row>
    <row r="538" spans="2:10" x14ac:dyDescent="0.25">
      <c r="B538" s="13" t="s">
        <v>1676</v>
      </c>
      <c r="H538" s="50" t="s">
        <v>326</v>
      </c>
      <c r="J538" t="str">
        <f>IFERROR(VLOOKUP(Table35[[#This Row],[R&amp;D Tags]],H:H,1,FALSE), " ")</f>
        <v xml:space="preserve"> </v>
      </c>
    </row>
    <row r="539" spans="2:10" x14ac:dyDescent="0.25">
      <c r="B539" s="13" t="s">
        <v>1677</v>
      </c>
      <c r="H539" s="50" t="s">
        <v>260</v>
      </c>
      <c r="J539" t="str">
        <f>IFERROR(VLOOKUP(Table35[[#This Row],[R&amp;D Tags]],H:H,1,FALSE), " ")</f>
        <v xml:space="preserve"> </v>
      </c>
    </row>
    <row r="540" spans="2:10" x14ac:dyDescent="0.25">
      <c r="B540" s="13" t="s">
        <v>68</v>
      </c>
      <c r="H540" s="50" t="s">
        <v>260</v>
      </c>
      <c r="J540" t="str">
        <f>IFERROR(VLOOKUP(Table35[[#This Row],[R&amp;D Tags]],H:H,1,FALSE), " ")</f>
        <v xml:space="preserve"> </v>
      </c>
    </row>
    <row r="541" spans="2:10" x14ac:dyDescent="0.25">
      <c r="B541" s="13" t="s">
        <v>1678</v>
      </c>
      <c r="H541" s="50" t="s">
        <v>364</v>
      </c>
      <c r="J541" t="str">
        <f>IFERROR(VLOOKUP(Table35[[#This Row],[R&amp;D Tags]],H:H,1,FALSE), " ")</f>
        <v xml:space="preserve"> </v>
      </c>
    </row>
    <row r="542" spans="2:10" x14ac:dyDescent="0.25">
      <c r="B542" s="13" t="s">
        <v>1679</v>
      </c>
      <c r="H542" s="50" t="s">
        <v>372</v>
      </c>
      <c r="J542" t="str">
        <f>IFERROR(VLOOKUP(Table35[[#This Row],[R&amp;D Tags]],H:H,1,FALSE), " ")</f>
        <v xml:space="preserve"> </v>
      </c>
    </row>
    <row r="543" spans="2:10" x14ac:dyDescent="0.25">
      <c r="B543" s="13" t="s">
        <v>1680</v>
      </c>
      <c r="H543" s="50" t="s">
        <v>268</v>
      </c>
      <c r="J543" t="str">
        <f>IFERROR(VLOOKUP(Table35[[#This Row],[R&amp;D Tags]],H:H,1,FALSE), " ")</f>
        <v xml:space="preserve"> </v>
      </c>
    </row>
    <row r="544" spans="2:10" x14ac:dyDescent="0.25">
      <c r="B544" s="13" t="s">
        <v>1681</v>
      </c>
      <c r="H544" s="50" t="s">
        <v>1224</v>
      </c>
      <c r="J544" t="str">
        <f>IFERROR(VLOOKUP(Table35[[#This Row],[R&amp;D Tags]],H:H,1,FALSE), " ")</f>
        <v xml:space="preserve"> </v>
      </c>
    </row>
    <row r="545" spans="2:10" x14ac:dyDescent="0.25">
      <c r="B545" s="13" t="s">
        <v>51</v>
      </c>
      <c r="H545" s="50" t="s">
        <v>1209</v>
      </c>
      <c r="J545" t="str">
        <f>IFERROR(VLOOKUP(Table35[[#This Row],[R&amp;D Tags]],H:H,1,FALSE), " ")</f>
        <v xml:space="preserve"> </v>
      </c>
    </row>
    <row r="546" spans="2:10" x14ac:dyDescent="0.25">
      <c r="B546" s="13" t="s">
        <v>1240</v>
      </c>
      <c r="H546" s="50" t="s">
        <v>256</v>
      </c>
      <c r="J546" t="str">
        <f>IFERROR(VLOOKUP(Table35[[#This Row],[R&amp;D Tags]],H:H,1,FALSE), " ")</f>
        <v xml:space="preserve"> </v>
      </c>
    </row>
    <row r="547" spans="2:10" x14ac:dyDescent="0.25">
      <c r="B547" s="13" t="s">
        <v>805</v>
      </c>
      <c r="H547" s="50" t="s">
        <v>252</v>
      </c>
      <c r="J547" t="str">
        <f>IFERROR(VLOOKUP(Table35[[#This Row],[R&amp;D Tags]],H:H,1,FALSE), " ")</f>
        <v xml:space="preserve"> </v>
      </c>
    </row>
    <row r="548" spans="2:10" x14ac:dyDescent="0.25">
      <c r="B548" s="13" t="s">
        <v>336</v>
      </c>
      <c r="H548" s="50" t="s">
        <v>13</v>
      </c>
      <c r="J548" t="str">
        <f>IFERROR(VLOOKUP(Table35[[#This Row],[R&amp;D Tags]],H:H,1,FALSE), " ")</f>
        <v xml:space="preserve"> </v>
      </c>
    </row>
    <row r="549" spans="2:10" x14ac:dyDescent="0.25">
      <c r="B549" s="13" t="s">
        <v>773</v>
      </c>
      <c r="H549" s="50" t="s">
        <v>893</v>
      </c>
      <c r="J549" t="str">
        <f>IFERROR(VLOOKUP(Table35[[#This Row],[R&amp;D Tags]],H:H,1,FALSE), " ")</f>
        <v xml:space="preserve"> </v>
      </c>
    </row>
    <row r="550" spans="2:10" x14ac:dyDescent="0.25">
      <c r="B550" s="13" t="s">
        <v>797</v>
      </c>
      <c r="H550" s="50" t="s">
        <v>897</v>
      </c>
      <c r="J550" t="str">
        <f>IFERROR(VLOOKUP(Table35[[#This Row],[R&amp;D Tags]],H:H,1,FALSE), " ")</f>
        <v xml:space="preserve"> </v>
      </c>
    </row>
    <row r="551" spans="2:10" x14ac:dyDescent="0.25">
      <c r="B551" s="13" t="s">
        <v>813</v>
      </c>
      <c r="H551" s="50" t="s">
        <v>901</v>
      </c>
      <c r="J551" t="str">
        <f>IFERROR(VLOOKUP(Table35[[#This Row],[R&amp;D Tags]],H:H,1,FALSE), " ")</f>
        <v xml:space="preserve"> </v>
      </c>
    </row>
    <row r="552" spans="2:10" x14ac:dyDescent="0.25">
      <c r="B552" s="13" t="s">
        <v>359</v>
      </c>
      <c r="H552" s="50" t="s">
        <v>996</v>
      </c>
      <c r="J552" t="str">
        <f>IFERROR(VLOOKUP(Table35[[#This Row],[R&amp;D Tags]],H:H,1,FALSE), " ")</f>
        <v xml:space="preserve"> </v>
      </c>
    </row>
    <row r="553" spans="2:10" x14ac:dyDescent="0.25">
      <c r="B553" s="13" t="s">
        <v>355</v>
      </c>
      <c r="H553" s="50" t="s">
        <v>992</v>
      </c>
      <c r="J553" t="str">
        <f>IFERROR(VLOOKUP(Table35[[#This Row],[R&amp;D Tags]],H:H,1,FALSE), " ")</f>
        <v xml:space="preserve"> </v>
      </c>
    </row>
    <row r="554" spans="2:10" x14ac:dyDescent="0.25">
      <c r="B554" s="13" t="s">
        <v>889</v>
      </c>
      <c r="H554" s="50" t="s">
        <v>1000</v>
      </c>
      <c r="J554" t="str">
        <f>IFERROR(VLOOKUP(Table35[[#This Row],[R&amp;D Tags]],H:H,1,FALSE), " ")</f>
        <v xml:space="preserve"> </v>
      </c>
    </row>
    <row r="555" spans="2:10" x14ac:dyDescent="0.25">
      <c r="B555" s="13" t="s">
        <v>1046</v>
      </c>
      <c r="H555" s="50" t="s">
        <v>980</v>
      </c>
      <c r="J555" t="str">
        <f>IFERROR(VLOOKUP(Table35[[#This Row],[R&amp;D Tags]],H:H,1,FALSE), " ")</f>
        <v xml:space="preserve"> </v>
      </c>
    </row>
    <row r="556" spans="2:10" x14ac:dyDescent="0.25">
      <c r="B556" s="13" t="s">
        <v>970</v>
      </c>
      <c r="H556" s="50" t="s">
        <v>984</v>
      </c>
      <c r="J556" t="str">
        <f>IFERROR(VLOOKUP(Table35[[#This Row],[R&amp;D Tags]],H:H,1,FALSE), " ")</f>
        <v xml:space="preserve"> </v>
      </c>
    </row>
    <row r="557" spans="2:10" x14ac:dyDescent="0.25">
      <c r="B557" s="13" t="s">
        <v>976</v>
      </c>
      <c r="H557" s="50" t="s">
        <v>938</v>
      </c>
      <c r="J557" t="str">
        <f>IFERROR(VLOOKUP(Table35[[#This Row],[R&amp;D Tags]],H:H,1,FALSE), " ")</f>
        <v xml:space="preserve"> </v>
      </c>
    </row>
    <row r="558" spans="2:10" x14ac:dyDescent="0.25">
      <c r="B558" s="13" t="s">
        <v>966</v>
      </c>
      <c r="H558" s="50" t="s">
        <v>946</v>
      </c>
      <c r="J558" t="str">
        <f>IFERROR(VLOOKUP(Table35[[#This Row],[R&amp;D Tags]],H:H,1,FALSE), " ")</f>
        <v xml:space="preserve"> </v>
      </c>
    </row>
    <row r="559" spans="2:10" x14ac:dyDescent="0.25">
      <c r="B559" s="13" t="s">
        <v>753</v>
      </c>
      <c r="H559" s="50" t="s">
        <v>988</v>
      </c>
      <c r="J559" t="str">
        <f>IFERROR(VLOOKUP(Table35[[#This Row],[R&amp;D Tags]],H:H,1,FALSE), " ")</f>
        <v xml:space="preserve"> </v>
      </c>
    </row>
    <row r="560" spans="2:10" x14ac:dyDescent="0.25">
      <c r="B560" s="13" t="s">
        <v>753</v>
      </c>
      <c r="H560" s="50" t="s">
        <v>1008</v>
      </c>
      <c r="J560" t="str">
        <f>IFERROR(VLOOKUP(Table35[[#This Row],[R&amp;D Tags]],H:H,1,FALSE), " ")</f>
        <v xml:space="preserve"> </v>
      </c>
    </row>
    <row r="561" spans="2:10" x14ac:dyDescent="0.25">
      <c r="B561" s="13" t="s">
        <v>64</v>
      </c>
      <c r="H561" s="50" t="s">
        <v>1012</v>
      </c>
      <c r="J561" t="str">
        <f>IFERROR(VLOOKUP(Table35[[#This Row],[R&amp;D Tags]],H:H,1,FALSE), " ")</f>
        <v xml:space="preserve"> </v>
      </c>
    </row>
    <row r="562" spans="2:10" x14ac:dyDescent="0.25">
      <c r="B562" s="10" t="s">
        <v>1682</v>
      </c>
      <c r="H562" s="50" t="s">
        <v>1004</v>
      </c>
      <c r="J562" t="str">
        <f>IFERROR(VLOOKUP(Table35[[#This Row],[R&amp;D Tags]],H:H,1,FALSE), " ")</f>
        <v xml:space="preserve"> </v>
      </c>
    </row>
    <row r="563" spans="2:10" x14ac:dyDescent="0.25">
      <c r="B563" s="13" t="s">
        <v>1683</v>
      </c>
      <c r="H563" s="50" t="s">
        <v>1016</v>
      </c>
      <c r="J563" t="str">
        <f>IFERROR(VLOOKUP(Table35[[#This Row],[R&amp;D Tags]],H:H,1,FALSE), " ")</f>
        <v xml:space="preserve"> </v>
      </c>
    </row>
    <row r="564" spans="2:10" ht="15.75" x14ac:dyDescent="0.25">
      <c r="B564" s="24" t="s">
        <v>9</v>
      </c>
      <c r="H564" s="50" t="s">
        <v>1020</v>
      </c>
      <c r="J564" t="str">
        <f>IFERROR(VLOOKUP(Table35[[#This Row],[R&amp;D Tags]],H:H,1,FALSE), " ")</f>
        <v xml:space="preserve"> </v>
      </c>
    </row>
    <row r="565" spans="2:10" x14ac:dyDescent="0.25">
      <c r="B565" s="13" t="s">
        <v>1684</v>
      </c>
      <c r="H565" s="50" t="s">
        <v>1028</v>
      </c>
      <c r="J565" t="str">
        <f>IFERROR(VLOOKUP(Table35[[#This Row],[R&amp;D Tags]],H:H,1,FALSE), " ")</f>
        <v xml:space="preserve"> </v>
      </c>
    </row>
    <row r="566" spans="2:10" ht="31.5" x14ac:dyDescent="0.25">
      <c r="B566" s="14" t="s">
        <v>1685</v>
      </c>
      <c r="H566" s="50" t="s">
        <v>942</v>
      </c>
      <c r="J566" t="str">
        <f>IFERROR(VLOOKUP(Table35[[#This Row],[R&amp;D Tags]],H:H,1,FALSE), " ")</f>
        <v xml:space="preserve"> </v>
      </c>
    </row>
    <row r="567" spans="2:10" ht="60" x14ac:dyDescent="0.25">
      <c r="B567" s="8" t="s">
        <v>1686</v>
      </c>
      <c r="H567" s="50" t="s">
        <v>950</v>
      </c>
      <c r="J567" t="str">
        <f>IFERROR(VLOOKUP(Table35[[#This Row],[R&amp;D Tags]],H:H,1,FALSE), " ")</f>
        <v xml:space="preserve"> </v>
      </c>
    </row>
    <row r="568" spans="2:10" ht="45" x14ac:dyDescent="0.25">
      <c r="B568" s="8" t="s">
        <v>1687</v>
      </c>
      <c r="H568" s="50" t="s">
        <v>954</v>
      </c>
      <c r="J568" t="str">
        <f>IFERROR(VLOOKUP(Table35[[#This Row],[R&amp;D Tags]],H:H,1,FALSE), " ")</f>
        <v xml:space="preserve"> </v>
      </c>
    </row>
    <row r="569" spans="2:10" ht="60" x14ac:dyDescent="0.25">
      <c r="B569" s="8" t="s">
        <v>1688</v>
      </c>
      <c r="H569" s="50" t="s">
        <v>38</v>
      </c>
      <c r="J569" t="str">
        <f>IFERROR(VLOOKUP(Table35[[#This Row],[R&amp;D Tags]],H:H,1,FALSE), " ")</f>
        <v xml:space="preserve"> </v>
      </c>
    </row>
    <row r="570" spans="2:10" ht="60" x14ac:dyDescent="0.25">
      <c r="B570" s="8" t="s">
        <v>1689</v>
      </c>
      <c r="H570" s="50" t="s">
        <v>59</v>
      </c>
      <c r="J570" t="str">
        <f>IFERROR(VLOOKUP(Table35[[#This Row],[R&amp;D Tags]],H:H,1,FALSE), " ")</f>
        <v xml:space="preserve"> </v>
      </c>
    </row>
    <row r="571" spans="2:10" ht="60" x14ac:dyDescent="0.25">
      <c r="B571" s="8" t="s">
        <v>1689</v>
      </c>
      <c r="H571" s="50" t="s">
        <v>68</v>
      </c>
      <c r="J571" t="str">
        <f>IFERROR(VLOOKUP(Table35[[#This Row],[R&amp;D Tags]],H:H,1,FALSE), " ")</f>
        <v xml:space="preserve"> </v>
      </c>
    </row>
    <row r="572" spans="2:10" ht="75" x14ac:dyDescent="0.25">
      <c r="B572" s="8" t="s">
        <v>1690</v>
      </c>
      <c r="H572" s="50" t="s">
        <v>51</v>
      </c>
      <c r="J572" t="str">
        <f>IFERROR(VLOOKUP(Table35[[#This Row],[R&amp;D Tags]],H:H,1,FALSE), " ")</f>
        <v xml:space="preserve"> </v>
      </c>
    </row>
    <row r="573" spans="2:10" ht="45" x14ac:dyDescent="0.25">
      <c r="B573" s="12" t="s">
        <v>1691</v>
      </c>
      <c r="H573" s="50" t="s">
        <v>1240</v>
      </c>
      <c r="J573" t="str">
        <f>IFERROR(VLOOKUP(Table35[[#This Row],[R&amp;D Tags]],H:H,1,FALSE), " ")</f>
        <v xml:space="preserve"> </v>
      </c>
    </row>
    <row r="574" spans="2:10" ht="90" x14ac:dyDescent="0.25">
      <c r="B574" s="12" t="s">
        <v>1692</v>
      </c>
      <c r="H574" s="50" t="s">
        <v>805</v>
      </c>
      <c r="J574" t="str">
        <f>IFERROR(VLOOKUP(Table35[[#This Row],[R&amp;D Tags]],H:H,1,FALSE), " ")</f>
        <v xml:space="preserve"> </v>
      </c>
    </row>
    <row r="575" spans="2:10" ht="30" x14ac:dyDescent="0.25">
      <c r="B575" s="12" t="s">
        <v>1693</v>
      </c>
      <c r="H575" s="50" t="s">
        <v>336</v>
      </c>
      <c r="J575" t="str">
        <f>IFERROR(VLOOKUP(Table35[[#This Row],[R&amp;D Tags]],H:H,1,FALSE), " ")</f>
        <v xml:space="preserve"> </v>
      </c>
    </row>
    <row r="576" spans="2:10" ht="45" x14ac:dyDescent="0.25">
      <c r="B576" s="12" t="s">
        <v>1694</v>
      </c>
      <c r="H576" s="50" t="s">
        <v>773</v>
      </c>
      <c r="J576" t="str">
        <f>IFERROR(VLOOKUP(Table35[[#This Row],[R&amp;D Tags]],H:H,1,FALSE), " ")</f>
        <v xml:space="preserve"> </v>
      </c>
    </row>
    <row r="577" spans="2:10" ht="45" x14ac:dyDescent="0.25">
      <c r="B577" s="42" t="s">
        <v>1695</v>
      </c>
      <c r="H577" s="50" t="s">
        <v>797</v>
      </c>
      <c r="J577" t="str">
        <f>IFERROR(VLOOKUP(Table35[[#This Row],[R&amp;D Tags]],H:H,1,FALSE), " ")</f>
        <v xml:space="preserve"> </v>
      </c>
    </row>
    <row r="578" spans="2:10" ht="60" x14ac:dyDescent="0.25">
      <c r="B578" s="43" t="s">
        <v>1696</v>
      </c>
      <c r="H578" s="50" t="s">
        <v>813</v>
      </c>
      <c r="J578" t="str">
        <f>IFERROR(VLOOKUP(Table35[[#This Row],[R&amp;D Tags]],H:H,1,FALSE), " ")</f>
        <v xml:space="preserve"> </v>
      </c>
    </row>
    <row r="579" spans="2:10" ht="30" x14ac:dyDescent="0.25">
      <c r="B579" s="25" t="s">
        <v>1697</v>
      </c>
      <c r="H579" s="50" t="s">
        <v>359</v>
      </c>
      <c r="J579" t="str">
        <f>IFERROR(VLOOKUP(Table35[[#This Row],[R&amp;D Tags]],H:H,1,FALSE), " ")</f>
        <v xml:space="preserve"> </v>
      </c>
    </row>
    <row r="580" spans="2:10" ht="90" x14ac:dyDescent="0.25">
      <c r="B580" s="25" t="s">
        <v>1698</v>
      </c>
      <c r="H580" s="50" t="s">
        <v>355</v>
      </c>
      <c r="J580" t="str">
        <f>IFERROR(VLOOKUP(Table35[[#This Row],[R&amp;D Tags]],H:H,1,FALSE), " ")</f>
        <v xml:space="preserve"> </v>
      </c>
    </row>
    <row r="581" spans="2:10" ht="31.5" x14ac:dyDescent="0.25">
      <c r="B581" s="14" t="s">
        <v>1699</v>
      </c>
      <c r="H581" s="50" t="s">
        <v>889</v>
      </c>
      <c r="J581" t="str">
        <f>IFERROR(VLOOKUP(Table35[[#This Row],[R&amp;D Tags]],H:H,1,FALSE), " ")</f>
        <v xml:space="preserve"> </v>
      </c>
    </row>
    <row r="582" spans="2:10" ht="31.5" x14ac:dyDescent="0.25">
      <c r="B582" s="14" t="s">
        <v>1700</v>
      </c>
      <c r="H582" s="50" t="s">
        <v>1046</v>
      </c>
      <c r="J582" t="str">
        <f>IFERROR(VLOOKUP(Table35[[#This Row],[R&amp;D Tags]],H:H,1,FALSE), " ")</f>
        <v xml:space="preserve"> </v>
      </c>
    </row>
    <row r="583" spans="2:10" ht="47.25" x14ac:dyDescent="0.25">
      <c r="B583" s="14" t="s">
        <v>1701</v>
      </c>
      <c r="H583" s="50" t="s">
        <v>970</v>
      </c>
      <c r="J583" t="str">
        <f>IFERROR(VLOOKUP(Table35[[#This Row],[R&amp;D Tags]],H:H,1,FALSE), " ")</f>
        <v xml:space="preserve"> </v>
      </c>
    </row>
    <row r="584" spans="2:10" ht="31.5" x14ac:dyDescent="0.25">
      <c r="B584" s="11" t="s">
        <v>1702</v>
      </c>
      <c r="H584" s="50" t="s">
        <v>976</v>
      </c>
      <c r="J584" t="str">
        <f>IFERROR(VLOOKUP(Table35[[#This Row],[R&amp;D Tags]],H:H,1,FALSE), " ")</f>
        <v xml:space="preserve"> </v>
      </c>
    </row>
    <row r="585" spans="2:10" ht="47.25" x14ac:dyDescent="0.25">
      <c r="B585" s="14" t="s">
        <v>1703</v>
      </c>
      <c r="H585" s="50" t="s">
        <v>966</v>
      </c>
      <c r="J585" t="str">
        <f>IFERROR(VLOOKUP(Table35[[#This Row],[R&amp;D Tags]],H:H,1,FALSE), " ")</f>
        <v xml:space="preserve"> </v>
      </c>
    </row>
    <row r="586" spans="2:10" ht="31.5" x14ac:dyDescent="0.25">
      <c r="B586" s="14" t="s">
        <v>1704</v>
      </c>
      <c r="H586" s="50" t="s">
        <v>753</v>
      </c>
      <c r="J586" t="str">
        <f>IFERROR(VLOOKUP(Table35[[#This Row],[R&amp;D Tags]],H:H,1,FALSE), " ")</f>
        <v xml:space="preserve"> </v>
      </c>
    </row>
    <row r="587" spans="2:10" ht="30" x14ac:dyDescent="0.25">
      <c r="B587" s="15" t="s">
        <v>1705</v>
      </c>
      <c r="H587" s="50" t="s">
        <v>753</v>
      </c>
      <c r="J587" t="str">
        <f>IFERROR(VLOOKUP(Table35[[#This Row],[R&amp;D Tags]],H:H,1,FALSE), " ")</f>
        <v xml:space="preserve"> </v>
      </c>
    </row>
    <row r="588" spans="2:10" ht="63" x14ac:dyDescent="0.25">
      <c r="B588" s="14" t="s">
        <v>1706</v>
      </c>
      <c r="H588" s="50" t="s">
        <v>64</v>
      </c>
      <c r="J588" t="str">
        <f>IFERROR(VLOOKUP(Table35[[#This Row],[R&amp;D Tags]],H:H,1,FALSE), " ")</f>
        <v xml:space="preserve"> </v>
      </c>
    </row>
    <row r="589" spans="2:10" x14ac:dyDescent="0.25">
      <c r="B589" s="13" t="s">
        <v>1707</v>
      </c>
      <c r="H589" s="50" t="s">
        <v>9</v>
      </c>
      <c r="J589" t="str">
        <f>IFERROR(VLOOKUP(Table35[[#This Row],[R&amp;D Tags]],H:H,1,FALSE), " ")</f>
        <v xml:space="preserve"> </v>
      </c>
    </row>
    <row r="590" spans="2:10" x14ac:dyDescent="0.25">
      <c r="B590" s="9"/>
    </row>
    <row r="591" spans="2:10" x14ac:dyDescent="0.25">
      <c r="B591" s="9"/>
    </row>
    <row r="592" spans="2:10" x14ac:dyDescent="0.25">
      <c r="B592" s="9"/>
    </row>
    <row r="593" spans="2:2" x14ac:dyDescent="0.25">
      <c r="B593" s="9"/>
    </row>
    <row r="594" spans="2:2" x14ac:dyDescent="0.25">
      <c r="B594" s="9"/>
    </row>
    <row r="595" spans="2:2" x14ac:dyDescent="0.25">
      <c r="B595" s="9"/>
    </row>
    <row r="596" spans="2:2" x14ac:dyDescent="0.25">
      <c r="B596" s="9"/>
    </row>
    <row r="597" spans="2:2" x14ac:dyDescent="0.25">
      <c r="B597" s="9"/>
    </row>
    <row r="598" spans="2:2" x14ac:dyDescent="0.25">
      <c r="B598" s="13"/>
    </row>
    <row r="599" spans="2:2" x14ac:dyDescent="0.25">
      <c r="B599" s="9"/>
    </row>
    <row r="600" spans="2:2" x14ac:dyDescent="0.25">
      <c r="B600" s="9"/>
    </row>
    <row r="601" spans="2:2" x14ac:dyDescent="0.25">
      <c r="B601" s="9"/>
    </row>
    <row r="602" spans="2:2" x14ac:dyDescent="0.25">
      <c r="B602" s="9"/>
    </row>
    <row r="603" spans="2:2" x14ac:dyDescent="0.25">
      <c r="B603" s="41"/>
    </row>
    <row r="604" spans="2:2" x14ac:dyDescent="0.25">
      <c r="B604" s="36"/>
    </row>
    <row r="605" spans="2:2" x14ac:dyDescent="0.25">
      <c r="B605" s="36"/>
    </row>
    <row r="606" spans="2:2" x14ac:dyDescent="0.25">
      <c r="B606" s="38"/>
    </row>
    <row r="607" spans="2:2" x14ac:dyDescent="0.25">
      <c r="B607" s="38"/>
    </row>
    <row r="608" spans="2:2" x14ac:dyDescent="0.25">
      <c r="B608" s="9"/>
    </row>
    <row r="609" spans="2:2" x14ac:dyDescent="0.25">
      <c r="B609" s="9"/>
    </row>
    <row r="610" spans="2:2" x14ac:dyDescent="0.25">
      <c r="B610" s="9"/>
    </row>
    <row r="611" spans="2:2" x14ac:dyDescent="0.25">
      <c r="B611" s="9"/>
    </row>
    <row r="612" spans="2:2" x14ac:dyDescent="0.25">
      <c r="B612" s="9"/>
    </row>
    <row r="613" spans="2:2" x14ac:dyDescent="0.25">
      <c r="B613" s="9"/>
    </row>
    <row r="614" spans="2:2" x14ac:dyDescent="0.25">
      <c r="B614" s="9"/>
    </row>
    <row r="615" spans="2:2" x14ac:dyDescent="0.25">
      <c r="B615" s="9"/>
    </row>
    <row r="616" spans="2:2" x14ac:dyDescent="0.25">
      <c r="B616" s="9"/>
    </row>
    <row r="617" spans="2:2" x14ac:dyDescent="0.25">
      <c r="B617" s="9"/>
    </row>
    <row r="618" spans="2:2" x14ac:dyDescent="0.25">
      <c r="B618" s="9"/>
    </row>
    <row r="619" spans="2:2" x14ac:dyDescent="0.25">
      <c r="B619" s="9"/>
    </row>
    <row r="620" spans="2:2" x14ac:dyDescent="0.25">
      <c r="B620" s="41"/>
    </row>
  </sheetData>
  <pageMargins left="0.7" right="0.7" top="0.75" bottom="0.75" header="0.3" footer="0.3"/>
  <headerFooter>
    <oddFooter>&amp;L_x000D_&amp;1#&amp;"Calibri"&amp;10&amp;K000000 DS Smith – INTERNAL</oddFooter>
  </headerFooter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5428-D16D-4301-A23F-B6E2A89BF0E7}">
  <dimension ref="A1:L620"/>
  <sheetViews>
    <sheetView topLeftCell="H1" workbookViewId="0">
      <selection activeCell="J2" sqref="J2"/>
    </sheetView>
  </sheetViews>
  <sheetFormatPr defaultRowHeight="15" x14ac:dyDescent="0.25"/>
  <cols>
    <col min="1" max="1" width="31.5703125" bestFit="1" customWidth="1"/>
    <col min="2" max="2" width="33.140625" customWidth="1"/>
    <col min="8" max="8" width="175.42578125" style="50" bestFit="1" customWidth="1"/>
    <col min="9" max="9" width="32.42578125" style="50" bestFit="1" customWidth="1"/>
    <col min="10" max="10" width="28.5703125" style="50" bestFit="1" customWidth="1"/>
  </cols>
  <sheetData>
    <row r="1" spans="1:12" ht="15.75" x14ac:dyDescent="0.25">
      <c r="A1" s="34" t="s">
        <v>2</v>
      </c>
      <c r="B1" s="35" t="s">
        <v>1709</v>
      </c>
      <c r="H1" s="50" t="s">
        <v>1710</v>
      </c>
      <c r="I1" s="50" t="s">
        <v>1711</v>
      </c>
      <c r="J1" s="50" t="s">
        <v>1715</v>
      </c>
    </row>
    <row r="2" spans="1:12" x14ac:dyDescent="0.25">
      <c r="A2" s="44" t="s">
        <v>1299</v>
      </c>
      <c r="B2" s="47" t="s">
        <v>1307</v>
      </c>
      <c r="H2" s="50" t="s">
        <v>1469</v>
      </c>
      <c r="I2" t="s">
        <v>64</v>
      </c>
      <c r="J2" s="50" t="str">
        <f>IFERROR(VLOOKUP(Table358[[#This Row],[R&amp;D Tags]],'Old List of R&amp;D Tags vs IDI'!H:H,1,FALSE), " ")</f>
        <v>QMS11_SCN1QM1-X</v>
      </c>
    </row>
    <row r="3" spans="1:12" x14ac:dyDescent="0.25">
      <c r="A3" s="44" t="s">
        <v>1303</v>
      </c>
      <c r="B3" s="46" t="s">
        <v>1449</v>
      </c>
      <c r="H3" s="50" t="s">
        <v>1599</v>
      </c>
      <c r="I3" t="s">
        <v>753</v>
      </c>
      <c r="J3" s="50" t="str">
        <f>IFERROR(VLOOKUP(Table358[[#This Row],[R&amp;D Tags]],'Old List of R&amp;D Tags vs IDI'!H:H,1,FALSE), " ")</f>
        <v>QMS11_MIC_MSTSCN2-X1</v>
      </c>
      <c r="L3" t="s">
        <v>1716</v>
      </c>
    </row>
    <row r="4" spans="1:12" x14ac:dyDescent="0.25">
      <c r="A4" s="45" t="s">
        <v>1307</v>
      </c>
      <c r="B4" s="47" t="s">
        <v>1295</v>
      </c>
      <c r="H4" s="50" t="s">
        <v>1655</v>
      </c>
      <c r="I4" t="s">
        <v>966</v>
      </c>
      <c r="J4" s="50" t="str">
        <f>IFERROR(VLOOKUP(Table358[[#This Row],[R&amp;D Tags]],'Old List of R&amp;D Tags vs IDI'!H:H,1,FALSE), " ")</f>
        <v>QMS11_2-303-NC071-X</v>
      </c>
      <c r="L4" t="s">
        <v>1717</v>
      </c>
    </row>
    <row r="5" spans="1:12" x14ac:dyDescent="0.25">
      <c r="A5" s="45" t="s">
        <v>1295</v>
      </c>
      <c r="B5" s="27" t="s">
        <v>1450</v>
      </c>
      <c r="H5" s="50" t="s">
        <v>1662</v>
      </c>
      <c r="I5" t="s">
        <v>976</v>
      </c>
      <c r="J5" s="50" t="str">
        <f>IFERROR(VLOOKUP(Table358[[#This Row],[R&amp;D Tags]],'Old List of R&amp;D Tags vs IDI'!H:H,1,FALSE), " ")</f>
        <v>QMS11_2-238-NC071-X</v>
      </c>
    </row>
    <row r="6" spans="1:12" x14ac:dyDescent="0.25">
      <c r="A6" t="s">
        <v>1367</v>
      </c>
      <c r="B6" s="27" t="s">
        <v>1451</v>
      </c>
      <c r="H6" s="50" t="s">
        <v>1657</v>
      </c>
      <c r="I6" t="s">
        <v>970</v>
      </c>
      <c r="J6" s="50" t="str">
        <f>IFERROR(VLOOKUP(Table358[[#This Row],[R&amp;D Tags]],'Old List of R&amp;D Tags vs IDI'!H:H,1,FALSE), " ")</f>
        <v>QMS11_2-203-NC071-X</v>
      </c>
    </row>
    <row r="7" spans="1:12" x14ac:dyDescent="0.25">
      <c r="A7" s="5" t="s">
        <v>1264</v>
      </c>
      <c r="B7" s="27" t="s">
        <v>1367</v>
      </c>
      <c r="H7" s="50" t="s">
        <v>1679</v>
      </c>
      <c r="I7" t="s">
        <v>1046</v>
      </c>
      <c r="J7" s="50" t="str">
        <f>IFERROR(VLOOKUP(Table358[[#This Row],[R&amp;D Tags]],'Old List of R&amp;D Tags vs IDI'!H:H,1,FALSE), " ")</f>
        <v>QMS11_2-138-NC071-X</v>
      </c>
    </row>
    <row r="8" spans="1:12" x14ac:dyDescent="0.25">
      <c r="A8" t="s">
        <v>1319</v>
      </c>
      <c r="B8" s="27" t="s">
        <v>1452</v>
      </c>
      <c r="H8" s="50" t="s">
        <v>1636</v>
      </c>
      <c r="I8" t="s">
        <v>889</v>
      </c>
      <c r="J8" s="50" t="str">
        <f>IFERROR(VLOOKUP(Table358[[#This Row],[R&amp;D Tags]],'Old List of R&amp;D Tags vs IDI'!H:H,1,FALSE), " ")</f>
        <v>QMS11_2-103-NC071-X</v>
      </c>
    </row>
    <row r="9" spans="1:12" x14ac:dyDescent="0.25">
      <c r="A9" t="s">
        <v>1331</v>
      </c>
      <c r="B9" s="27" t="s">
        <v>1453</v>
      </c>
      <c r="H9" s="50" t="s">
        <v>1504</v>
      </c>
      <c r="I9" t="s">
        <v>355</v>
      </c>
      <c r="J9" s="50" t="str">
        <f>IFERROR(VLOOKUP(Table358[[#This Row],[R&amp;D Tags]],'Old List of R&amp;D Tags vs IDI'!H:H,1,FALSE), " ")</f>
        <v>QMS11_2-044-V511-N_FU</v>
      </c>
    </row>
    <row r="10" spans="1:12" x14ac:dyDescent="0.25">
      <c r="A10" t="s">
        <v>1343</v>
      </c>
      <c r="B10" s="27" t="s">
        <v>1454</v>
      </c>
      <c r="H10" s="50" t="s">
        <v>1505</v>
      </c>
      <c r="I10" t="s">
        <v>359</v>
      </c>
      <c r="J10" s="50" t="str">
        <f>IFERROR(VLOOKUP(Table358[[#This Row],[R&amp;D Tags]],'Old List of R&amp;D Tags vs IDI'!H:H,1,FALSE), " ")</f>
        <v>QMS11_2-044-V411-N_FU</v>
      </c>
    </row>
    <row r="11" spans="1:12" x14ac:dyDescent="0.25">
      <c r="A11" t="s">
        <v>1201</v>
      </c>
      <c r="B11" s="27" t="s">
        <v>1455</v>
      </c>
      <c r="H11" s="50" t="s">
        <v>1613</v>
      </c>
      <c r="I11" t="s">
        <v>813</v>
      </c>
      <c r="J11" s="50" t="str">
        <f>IFERROR(VLOOKUP(Table358[[#This Row],[R&amp;D Tags]],'Old List of R&amp;D Tags vs IDI'!H:H,1,FALSE), " ")</f>
        <v>QMS11_2-044-V311-N_FU</v>
      </c>
    </row>
    <row r="12" spans="1:12" x14ac:dyDescent="0.25">
      <c r="A12" t="s">
        <v>1205</v>
      </c>
      <c r="B12" s="27" t="s">
        <v>1456</v>
      </c>
      <c r="H12" s="50" t="s">
        <v>1610</v>
      </c>
      <c r="I12" t="s">
        <v>797</v>
      </c>
      <c r="J12" s="50" t="str">
        <f>IFERROR(VLOOKUP(Table358[[#This Row],[R&amp;D Tags]],'Old List of R&amp;D Tags vs IDI'!H:H,1,FALSE), " ")</f>
        <v>QMS11_2-044-V211-N_FU</v>
      </c>
    </row>
    <row r="13" spans="1:12" x14ac:dyDescent="0.25">
      <c r="A13" t="s">
        <v>1267</v>
      </c>
      <c r="B13" s="27" t="s">
        <v>1457</v>
      </c>
      <c r="H13" s="50" t="s">
        <v>1604</v>
      </c>
      <c r="I13" t="s">
        <v>773</v>
      </c>
      <c r="J13" s="50" t="str">
        <f>IFERROR(VLOOKUP(Table358[[#This Row],[R&amp;D Tags]],'Old List of R&amp;D Tags vs IDI'!H:H,1,FALSE), " ")</f>
        <v>QMS11_2-044-V111-N1</v>
      </c>
    </row>
    <row r="14" spans="1:12" x14ac:dyDescent="0.25">
      <c r="A14" t="s">
        <v>1287</v>
      </c>
      <c r="B14" s="27" t="s">
        <v>1319</v>
      </c>
      <c r="H14" s="50" t="s">
        <v>1500</v>
      </c>
      <c r="I14" t="s">
        <v>336</v>
      </c>
      <c r="J14" s="50" t="str">
        <f>IFERROR(VLOOKUP(Table358[[#This Row],[R&amp;D Tags]],'Old List of R&amp;D Tags vs IDI'!H:H,1,FALSE), " ")</f>
        <v>QMS11_2-044-MC433-X</v>
      </c>
    </row>
    <row r="15" spans="1:12" x14ac:dyDescent="0.25">
      <c r="A15" t="s">
        <v>1291</v>
      </c>
      <c r="B15" s="27" t="s">
        <v>1331</v>
      </c>
      <c r="H15" s="50" t="s">
        <v>1611</v>
      </c>
      <c r="I15" t="s">
        <v>805</v>
      </c>
      <c r="J15" s="50" t="str">
        <f>IFERROR(VLOOKUP(Table358[[#This Row],[R&amp;D Tags]],'Old List of R&amp;D Tags vs IDI'!H:H,1,FALSE), " ")</f>
        <v>QMS11_2-044-MC333-W</v>
      </c>
    </row>
    <row r="16" spans="1:12" x14ac:dyDescent="0.25">
      <c r="A16" t="s">
        <v>1359</v>
      </c>
      <c r="B16" s="27" t="s">
        <v>1343</v>
      </c>
      <c r="H16" s="50" t="s">
        <v>1311</v>
      </c>
      <c r="I16" t="s">
        <v>1240</v>
      </c>
      <c r="J16" s="50" t="str">
        <f>IFERROR(VLOOKUP(Table358[[#This Row],[R&amp;D Tags]],'Old List of R&amp;D Tags vs IDI'!H:H,1,FALSE), " ")</f>
        <v>QMS11_2-008-QC041.05.01-X</v>
      </c>
    </row>
    <row r="17" spans="1:10" x14ac:dyDescent="0.25">
      <c r="A17" t="s">
        <v>1347</v>
      </c>
      <c r="B17" s="27" t="s">
        <v>1201</v>
      </c>
      <c r="H17" s="50" t="s">
        <v>1466</v>
      </c>
      <c r="I17" t="s">
        <v>51</v>
      </c>
      <c r="J17" s="50" t="str">
        <f>IFERROR(VLOOKUP(Table358[[#This Row],[R&amp;D Tags]],'Old List of R&amp;D Tags vs IDI'!H:H,1,FALSE), " ")</f>
        <v>QLS-REEL-WIDTH-CUR</v>
      </c>
    </row>
    <row r="18" spans="1:10" x14ac:dyDescent="0.25">
      <c r="A18" t="s">
        <v>1275</v>
      </c>
      <c r="B18" s="27" t="s">
        <v>1201</v>
      </c>
      <c r="H18" s="50" t="s">
        <v>1470</v>
      </c>
      <c r="I18" t="s">
        <v>68</v>
      </c>
      <c r="J18" s="50" t="str">
        <f>IFERROR(VLOOKUP(Table358[[#This Row],[R&amp;D Tags]],'Old List of R&amp;D Tags vs IDI'!H:H,1,FALSE), " ")</f>
        <v>QLS-REEL-MOISTURE1-CUR</v>
      </c>
    </row>
    <row r="19" spans="1:10" x14ac:dyDescent="0.25">
      <c r="A19" t="s">
        <v>1283</v>
      </c>
      <c r="B19" s="27" t="s">
        <v>1201</v>
      </c>
      <c r="H19" s="50" t="s">
        <v>1449</v>
      </c>
      <c r="I19" t="s">
        <v>1677</v>
      </c>
      <c r="J19" s="50" t="str">
        <f>IFERROR(VLOOKUP(Table358[[#This Row],[R&amp;D Tags]],'Old List of R&amp;D Tags vs IDI'!H:H,1,FALSE), " ")</f>
        <v>QLS-REEL-ID-CUR</v>
      </c>
    </row>
    <row r="20" spans="1:10" x14ac:dyDescent="0.25">
      <c r="A20" t="s">
        <v>1375</v>
      </c>
      <c r="B20" s="27" t="s">
        <v>1205</v>
      </c>
      <c r="H20" s="50" t="s">
        <v>1468</v>
      </c>
      <c r="I20" t="s">
        <v>59</v>
      </c>
      <c r="J20" s="50" t="str">
        <f>IFERROR(VLOOKUP(Table358[[#This Row],[R&amp;D Tags]],'Old List of R&amp;D Tags vs IDI'!H:H,1,FALSE), " ")</f>
        <v>PRODUCTION-RATE</v>
      </c>
    </row>
    <row r="21" spans="1:10" x14ac:dyDescent="0.25">
      <c r="A21" t="s">
        <v>1379</v>
      </c>
      <c r="B21" s="27" t="s">
        <v>1205</v>
      </c>
      <c r="H21" s="50" t="s">
        <v>1651</v>
      </c>
      <c r="I21" t="s">
        <v>954</v>
      </c>
      <c r="J21" s="50" t="str">
        <f>IFERROR(VLOOKUP(Table358[[#This Row],[R&amp;D Tags]],'Old List of R&amp;D Tags vs IDI'!H:H,1,FALSE), " ")</f>
        <v>PM1_2-346-YP043-X</v>
      </c>
    </row>
    <row r="22" spans="1:10" x14ac:dyDescent="0.25">
      <c r="A22" t="s">
        <v>1383</v>
      </c>
      <c r="B22" s="26" t="s">
        <v>1205</v>
      </c>
      <c r="H22" s="50" t="s">
        <v>1650</v>
      </c>
      <c r="I22" t="s">
        <v>950</v>
      </c>
      <c r="J22" s="50" t="str">
        <f>IFERROR(VLOOKUP(Table358[[#This Row],[R&amp;D Tags]],'Old List of R&amp;D Tags vs IDI'!H:H,1,FALSE), " ")</f>
        <v>PM1_2-246-YP043_02-X</v>
      </c>
    </row>
    <row r="23" spans="1:10" x14ac:dyDescent="0.25">
      <c r="A23" t="s">
        <v>1387</v>
      </c>
      <c r="B23" s="27" t="s">
        <v>1267</v>
      </c>
      <c r="H23" s="50" t="s">
        <v>1649</v>
      </c>
      <c r="I23" t="s">
        <v>942</v>
      </c>
      <c r="J23" s="50" t="str">
        <f>IFERROR(VLOOKUP(Table358[[#This Row],[R&amp;D Tags]],'Old List of R&amp;D Tags vs IDI'!H:H,1,FALSE), " ")</f>
        <v>PM1_2-246-YP043_01-X</v>
      </c>
    </row>
    <row r="24" spans="1:10" x14ac:dyDescent="0.25">
      <c r="A24" t="s">
        <v>1327</v>
      </c>
      <c r="B24" s="27" t="s">
        <v>1458</v>
      </c>
      <c r="H24" s="50" t="s">
        <v>1675</v>
      </c>
      <c r="I24" t="s">
        <v>1028</v>
      </c>
      <c r="J24" s="50" t="str">
        <f>IFERROR(VLOOKUP(Table358[[#This Row],[R&amp;D Tags]],'Old List of R&amp;D Tags vs IDI'!H:H,1,FALSE), " ")</f>
        <v>PM1_2-238-PI091-X</v>
      </c>
    </row>
    <row r="25" spans="1:10" x14ac:dyDescent="0.25">
      <c r="A25" t="s">
        <v>1323</v>
      </c>
      <c r="B25" s="27" t="s">
        <v>1287</v>
      </c>
      <c r="H25" s="50" t="s">
        <v>1673</v>
      </c>
      <c r="I25" t="s">
        <v>1020</v>
      </c>
      <c r="J25" s="50" t="str">
        <f>IFERROR(VLOOKUP(Table358[[#This Row],[R&amp;D Tags]],'Old List of R&amp;D Tags vs IDI'!H:H,1,FALSE), " ")</f>
        <v>PM1_2-238-PC097-X</v>
      </c>
    </row>
    <row r="26" spans="1:10" x14ac:dyDescent="0.25">
      <c r="A26" t="s">
        <v>1315</v>
      </c>
      <c r="B26" s="27" t="s">
        <v>1291</v>
      </c>
      <c r="H26" s="50" t="s">
        <v>1672</v>
      </c>
      <c r="I26" t="s">
        <v>1016</v>
      </c>
      <c r="J26" s="50" t="str">
        <f>IFERROR(VLOOKUP(Table358[[#This Row],[R&amp;D Tags]],'Old List of R&amp;D Tags vs IDI'!H:H,1,FALSE), " ")</f>
        <v>PM1_2-238-PC096-X</v>
      </c>
    </row>
    <row r="27" spans="1:10" x14ac:dyDescent="0.25">
      <c r="A27" t="s">
        <v>1311</v>
      </c>
      <c r="B27" s="27" t="s">
        <v>1359</v>
      </c>
      <c r="H27" s="50" t="s">
        <v>1669</v>
      </c>
      <c r="I27" t="s">
        <v>1004</v>
      </c>
      <c r="J27" s="50" t="str">
        <f>IFERROR(VLOOKUP(Table358[[#This Row],[R&amp;D Tags]],'Old List of R&amp;D Tags vs IDI'!H:H,1,FALSE), " ")</f>
        <v>PM1_2-238-PC095-X</v>
      </c>
    </row>
    <row r="28" spans="1:10" x14ac:dyDescent="0.25">
      <c r="A28" t="s">
        <v>1335</v>
      </c>
      <c r="B28" s="27" t="s">
        <v>1459</v>
      </c>
      <c r="H28" s="50" t="s">
        <v>1671</v>
      </c>
      <c r="I28" t="s">
        <v>1012</v>
      </c>
      <c r="J28" s="50" t="str">
        <f>IFERROR(VLOOKUP(Table358[[#This Row],[R&amp;D Tags]],'Old List of R&amp;D Tags vs IDI'!H:H,1,FALSE), " ")</f>
        <v>PM1_2-238-PC094-X</v>
      </c>
    </row>
    <row r="29" spans="1:10" x14ac:dyDescent="0.25">
      <c r="A29" t="s">
        <v>1339</v>
      </c>
      <c r="B29" s="27" t="s">
        <v>1275</v>
      </c>
      <c r="H29" s="50" t="s">
        <v>1670</v>
      </c>
      <c r="I29" t="s">
        <v>1008</v>
      </c>
      <c r="J29" s="50" t="str">
        <f>IFERROR(VLOOKUP(Table358[[#This Row],[R&amp;D Tags]],'Old List of R&amp;D Tags vs IDI'!H:H,1,FALSE), " ")</f>
        <v>PM1_2-238-PC093-X</v>
      </c>
    </row>
    <row r="30" spans="1:10" x14ac:dyDescent="0.25">
      <c r="A30" t="s">
        <v>1371</v>
      </c>
      <c r="B30" s="27" t="s">
        <v>1283</v>
      </c>
      <c r="H30" s="50" t="s">
        <v>1665</v>
      </c>
      <c r="I30" t="s">
        <v>988</v>
      </c>
      <c r="J30" s="50" t="str">
        <f>IFERROR(VLOOKUP(Table358[[#This Row],[R&amp;D Tags]],'Old List of R&amp;D Tags vs IDI'!H:H,1,FALSE), " ")</f>
        <v>PM1_2-238-PC092-X</v>
      </c>
    </row>
    <row r="31" spans="1:10" x14ac:dyDescent="0.25">
      <c r="A31" t="s">
        <v>177</v>
      </c>
      <c r="B31" s="27" t="s">
        <v>1375</v>
      </c>
      <c r="H31" s="50" t="s">
        <v>1650</v>
      </c>
      <c r="I31" t="s">
        <v>946</v>
      </c>
      <c r="J31" s="50" t="str">
        <f>IFERROR(VLOOKUP(Table358[[#This Row],[R&amp;D Tags]],'Old List of R&amp;D Tags vs IDI'!H:H,1,FALSE), " ")</f>
        <v>PM1_2-146-YP043_02-X</v>
      </c>
    </row>
    <row r="32" spans="1:10" x14ac:dyDescent="0.25">
      <c r="A32" t="s">
        <v>180</v>
      </c>
      <c r="B32" s="27" t="s">
        <v>1460</v>
      </c>
      <c r="H32" s="50" t="s">
        <v>1648</v>
      </c>
      <c r="I32" t="s">
        <v>938</v>
      </c>
      <c r="J32" s="50" t="str">
        <f>IFERROR(VLOOKUP(Table358[[#This Row],[R&amp;D Tags]],'Old List of R&amp;D Tags vs IDI'!H:H,1,FALSE), " ")</f>
        <v>PM1_2-146-YP043_01-X</v>
      </c>
    </row>
    <row r="33" spans="1:10" x14ac:dyDescent="0.25">
      <c r="A33" t="s">
        <v>184</v>
      </c>
      <c r="B33" s="27" t="s">
        <v>1387</v>
      </c>
      <c r="H33" s="50" t="s">
        <v>1664</v>
      </c>
      <c r="I33" t="s">
        <v>984</v>
      </c>
      <c r="J33" s="50" t="str">
        <f>IFERROR(VLOOKUP(Table358[[#This Row],[R&amp;D Tags]],'Old List of R&amp;D Tags vs IDI'!H:H,1,FALSE), " ")</f>
        <v>PM1_2-138-PC095-X</v>
      </c>
    </row>
    <row r="34" spans="1:10" x14ac:dyDescent="0.25">
      <c r="A34" t="s">
        <v>1351</v>
      </c>
      <c r="B34" s="27" t="s">
        <v>1461</v>
      </c>
      <c r="H34" s="50" t="s">
        <v>1663</v>
      </c>
      <c r="I34" t="s">
        <v>980</v>
      </c>
      <c r="J34" s="50" t="str">
        <f>IFERROR(VLOOKUP(Table358[[#This Row],[R&amp;D Tags]],'Old List of R&amp;D Tags vs IDI'!H:H,1,FALSE), " ")</f>
        <v>PM1_2-138-PC093-X</v>
      </c>
    </row>
    <row r="35" spans="1:10" x14ac:dyDescent="0.25">
      <c r="A35" t="s">
        <v>1271</v>
      </c>
      <c r="B35" s="27" t="s">
        <v>1462</v>
      </c>
      <c r="H35" s="50" t="s">
        <v>1668</v>
      </c>
      <c r="I35" t="s">
        <v>1000</v>
      </c>
      <c r="J35" s="50" t="str">
        <f>IFERROR(VLOOKUP(Table358[[#This Row],[R&amp;D Tags]],'Old List of R&amp;D Tags vs IDI'!H:H,1,FALSE), " ")</f>
        <v>PM1_2-138-FI096-X</v>
      </c>
    </row>
    <row r="36" spans="1:10" x14ac:dyDescent="0.25">
      <c r="A36" t="s">
        <v>1279</v>
      </c>
      <c r="B36" s="27" t="s">
        <v>1327</v>
      </c>
      <c r="H36" s="50" t="s">
        <v>1666</v>
      </c>
      <c r="I36" t="s">
        <v>992</v>
      </c>
      <c r="J36" s="50" t="str">
        <f>IFERROR(VLOOKUP(Table358[[#This Row],[R&amp;D Tags]],'Old List of R&amp;D Tags vs IDI'!H:H,1,FALSE), " ")</f>
        <v>PM1_2-138-FI094-X</v>
      </c>
    </row>
    <row r="37" spans="1:10" x14ac:dyDescent="0.25">
      <c r="A37" t="s">
        <v>1355</v>
      </c>
      <c r="B37" s="27" t="s">
        <v>1323</v>
      </c>
      <c r="H37" s="50" t="s">
        <v>1667</v>
      </c>
      <c r="I37" t="s">
        <v>996</v>
      </c>
      <c r="J37" s="50" t="str">
        <f>IFERROR(VLOOKUP(Table358[[#This Row],[R&amp;D Tags]],'Old List of R&amp;D Tags vs IDI'!H:H,1,FALSE), " ")</f>
        <v>PM1_2-138-FI092-X</v>
      </c>
    </row>
    <row r="38" spans="1:10" x14ac:dyDescent="0.25">
      <c r="A38" t="s">
        <v>1363</v>
      </c>
      <c r="B38" s="27" t="s">
        <v>1315</v>
      </c>
      <c r="H38" s="50" t="s">
        <v>1639</v>
      </c>
      <c r="I38" t="s">
        <v>901</v>
      </c>
      <c r="J38" s="50" t="str">
        <f>IFERROR(VLOOKUP(Table358[[#This Row],[R&amp;D Tags]],'Old List of R&amp;D Tags vs IDI'!H:H,1,FALSE), " ")</f>
        <v>PM1_2-103-PI092-X</v>
      </c>
    </row>
    <row r="39" spans="1:10" x14ac:dyDescent="0.25">
      <c r="A39" t="s">
        <v>765</v>
      </c>
      <c r="B39" s="27" t="s">
        <v>1311</v>
      </c>
      <c r="H39" s="50" t="s">
        <v>1638</v>
      </c>
      <c r="I39" t="s">
        <v>897</v>
      </c>
      <c r="J39" s="50" t="str">
        <f>IFERROR(VLOOKUP(Table358[[#This Row],[R&amp;D Tags]],'Old List of R&amp;D Tags vs IDI'!H:H,1,FALSE), " ")</f>
        <v>PM1_2-103-PI091-X</v>
      </c>
    </row>
    <row r="40" spans="1:10" x14ac:dyDescent="0.25">
      <c r="A40" t="s">
        <v>761</v>
      </c>
      <c r="B40" s="27" t="s">
        <v>1335</v>
      </c>
      <c r="H40" s="50" t="s">
        <v>1643</v>
      </c>
      <c r="I40" t="s">
        <v>897</v>
      </c>
      <c r="J40" s="50" t="str">
        <f>IFERROR(VLOOKUP(Table358[[#This Row],[R&amp;D Tags]],'Old List of R&amp;D Tags vs IDI'!H:H,1,FALSE), " ")</f>
        <v>PM1_2-103-PI091-X</v>
      </c>
    </row>
    <row r="41" spans="1:10" x14ac:dyDescent="0.25">
      <c r="A41" s="6" t="s">
        <v>197</v>
      </c>
      <c r="B41" s="27" t="s">
        <v>1339</v>
      </c>
      <c r="H41" s="50" t="s">
        <v>1637</v>
      </c>
      <c r="I41" t="s">
        <v>893</v>
      </c>
      <c r="J41" s="50" t="str">
        <f>IFERROR(VLOOKUP(Table358[[#This Row],[R&amp;D Tags]],'Old List of R&amp;D Tags vs IDI'!H:H,1,FALSE), " ")</f>
        <v>PM1_2-103-PI090-X</v>
      </c>
    </row>
    <row r="42" spans="1:10" x14ac:dyDescent="0.25">
      <c r="A42" s="6" t="s">
        <v>200</v>
      </c>
      <c r="B42" s="27" t="s">
        <v>1371</v>
      </c>
      <c r="H42" s="50" t="s">
        <v>1450</v>
      </c>
      <c r="I42" t="s">
        <v>13</v>
      </c>
      <c r="J42" s="50" t="str">
        <f>IFERROR(VLOOKUP(Table358[[#This Row],[R&amp;D Tags]],'Old List of R&amp;D Tags vs IDI'!H:H,1,FALSE), " ")</f>
        <v>GRADE_NAME</v>
      </c>
    </row>
    <row r="43" spans="1:10" x14ac:dyDescent="0.25">
      <c r="A43" s="6" t="s">
        <v>206</v>
      </c>
      <c r="B43" s="27" t="s">
        <v>1463</v>
      </c>
      <c r="H43" s="50" t="s">
        <v>131</v>
      </c>
      <c r="I43" t="s">
        <v>252</v>
      </c>
      <c r="J43" s="50" t="str">
        <f>IFERROR(VLOOKUP(Table358[[#This Row],[R&amp;D Tags]],'Old List of R&amp;D Tags vs IDI'!H:H,1,FALSE), " ")</f>
        <v>GMC_A4_G1LBE20CF702_WF</v>
      </c>
    </row>
    <row r="44" spans="1:10" x14ac:dyDescent="0.25">
      <c r="A44" s="6" t="s">
        <v>203</v>
      </c>
      <c r="B44" s="27" t="s">
        <v>1464</v>
      </c>
      <c r="H44" s="50" t="s">
        <v>131</v>
      </c>
      <c r="I44" t="s">
        <v>256</v>
      </c>
      <c r="J44" s="50" t="str">
        <f>IFERROR(VLOOKUP(Table358[[#This Row],[R&amp;D Tags]],'Old List of R&amp;D Tags vs IDI'!H:H,1,FALSE), " ")</f>
        <v>GMC_A1_G1LDA10CF701_WF</v>
      </c>
    </row>
    <row r="45" spans="1:10" x14ac:dyDescent="0.25">
      <c r="A45" s="6" t="s">
        <v>215</v>
      </c>
      <c r="B45" s="27" t="s">
        <v>1465</v>
      </c>
      <c r="H45" s="50" t="s">
        <v>1359</v>
      </c>
      <c r="I45" t="s">
        <v>1209</v>
      </c>
      <c r="J45" s="50" t="str">
        <f>IFERROR(VLOOKUP(Table358[[#This Row],[R&amp;D Tags]],'Old List of R&amp;D Tags vs IDI'!H:H,1,FALSE), " ")</f>
        <v>FC031.03-TROCKENAUSSCHUSS</v>
      </c>
    </row>
    <row r="46" spans="1:10" ht="15.75" x14ac:dyDescent="0.25">
      <c r="A46" s="6" t="s">
        <v>212</v>
      </c>
      <c r="B46" s="28" t="s">
        <v>177</v>
      </c>
      <c r="H46" s="50" t="s">
        <v>1387</v>
      </c>
      <c r="I46" t="s">
        <v>1224</v>
      </c>
      <c r="J46" s="50" t="str">
        <f>IFERROR(VLOOKUP(Table358[[#This Row],[R&amp;D Tags]],'Old List of R&amp;D Tags vs IDI'!H:H,1,FALSE), " ")</f>
        <v>3-000-FC064_01-X</v>
      </c>
    </row>
    <row r="47" spans="1:10" ht="15.75" x14ac:dyDescent="0.25">
      <c r="A47" s="6" t="s">
        <v>209</v>
      </c>
      <c r="B47" s="28" t="s">
        <v>180</v>
      </c>
      <c r="H47" s="50" t="s">
        <v>1510</v>
      </c>
      <c r="I47" t="s">
        <v>268</v>
      </c>
      <c r="J47" s="50" t="str">
        <f>IFERROR(VLOOKUP(Table358[[#This Row],[R&amp;D Tags]],'Old List of R&amp;D Tags vs IDI'!H:H,1,FALSE), " ")</f>
        <v>2-704-UZ001-U</v>
      </c>
    </row>
    <row r="48" spans="1:10" ht="15.75" x14ac:dyDescent="0.25">
      <c r="A48" t="s">
        <v>236</v>
      </c>
      <c r="B48" s="28" t="s">
        <v>184</v>
      </c>
      <c r="H48" s="50" t="s">
        <v>1509</v>
      </c>
      <c r="I48" t="s">
        <v>372</v>
      </c>
      <c r="J48" s="50" t="str">
        <f>IFERROR(VLOOKUP(Table358[[#This Row],[R&amp;D Tags]],'Old List of R&amp;D Tags vs IDI'!H:H,1,FALSE), " ")</f>
        <v>2-704-UZ001-O</v>
      </c>
    </row>
    <row r="49" spans="1:10" x14ac:dyDescent="0.25">
      <c r="A49" s="6" t="s">
        <v>240</v>
      </c>
      <c r="B49" s="27" t="s">
        <v>1466</v>
      </c>
      <c r="H49" s="50" t="s">
        <v>1506</v>
      </c>
      <c r="I49" t="s">
        <v>364</v>
      </c>
      <c r="J49" s="50" t="str">
        <f>IFERROR(VLOOKUP(Table358[[#This Row],[R&amp;D Tags]],'Old List of R&amp;D Tags vs IDI'!H:H,1,FALSE), " ")</f>
        <v>2-704-NI011-X</v>
      </c>
    </row>
    <row r="50" spans="1:10" x14ac:dyDescent="0.25">
      <c r="A50" s="6" t="s">
        <v>233</v>
      </c>
      <c r="B50" s="27" t="s">
        <v>1467</v>
      </c>
      <c r="H50" s="50" t="s">
        <v>1508</v>
      </c>
      <c r="I50" t="s">
        <v>260</v>
      </c>
      <c r="J50" s="50" t="str">
        <f>IFERROR(VLOOKUP(Table358[[#This Row],[R&amp;D Tags]],'Old List of R&amp;D Tags vs IDI'!H:H,1,FALSE), " ")</f>
        <v>2-604-UZ001-O</v>
      </c>
    </row>
    <row r="51" spans="1:10" x14ac:dyDescent="0.25">
      <c r="A51" s="6" t="s">
        <v>230</v>
      </c>
      <c r="B51" s="27" t="s">
        <v>1468</v>
      </c>
      <c r="H51" s="50" t="s">
        <v>1498</v>
      </c>
      <c r="I51" t="s">
        <v>326</v>
      </c>
      <c r="J51" s="50" t="str">
        <f>IFERROR(VLOOKUP(Table358[[#This Row],[R&amp;D Tags]],'Old List of R&amp;D Tags vs IDI'!H:H,1,FALSE), " ")</f>
        <v>2-604-UZ001-D9</v>
      </c>
    </row>
    <row r="52" spans="1:10" x14ac:dyDescent="0.25">
      <c r="A52" s="6" t="s">
        <v>218</v>
      </c>
      <c r="B52" s="27" t="s">
        <v>1469</v>
      </c>
      <c r="H52" s="50" t="s">
        <v>1507</v>
      </c>
      <c r="I52" t="s">
        <v>368</v>
      </c>
      <c r="J52" s="50" t="str">
        <f>IFERROR(VLOOKUP(Table358[[#This Row],[R&amp;D Tags]],'Old List of R&amp;D Tags vs IDI'!H:H,1,FALSE), " ")</f>
        <v>2-604-NI010-X</v>
      </c>
    </row>
    <row r="53" spans="1:10" x14ac:dyDescent="0.25">
      <c r="A53" s="6" t="s">
        <v>227</v>
      </c>
      <c r="B53" s="27" t="s">
        <v>1470</v>
      </c>
      <c r="H53" s="50" t="s">
        <v>1632</v>
      </c>
      <c r="I53" t="s">
        <v>881</v>
      </c>
      <c r="J53" s="50" t="str">
        <f>IFERROR(VLOOKUP(Table358[[#This Row],[R&amp;D Tags]],'Old List of R&amp;D Tags vs IDI'!H:H,1,FALSE), " ")</f>
        <v>2-504-UZ001-U</v>
      </c>
    </row>
    <row r="54" spans="1:10" x14ac:dyDescent="0.25">
      <c r="A54" s="6" t="s">
        <v>224</v>
      </c>
      <c r="B54" s="27" t="s">
        <v>1471</v>
      </c>
      <c r="H54" s="50" t="s">
        <v>1631</v>
      </c>
      <c r="I54" t="s">
        <v>376</v>
      </c>
      <c r="J54" s="50" t="str">
        <f>IFERROR(VLOOKUP(Table358[[#This Row],[R&amp;D Tags]],'Old List of R&amp;D Tags vs IDI'!H:H,1,FALSE), " ")</f>
        <v>2-504-UZ001-O</v>
      </c>
    </row>
    <row r="55" spans="1:10" x14ac:dyDescent="0.25">
      <c r="A55" s="6" t="s">
        <v>221</v>
      </c>
      <c r="B55" s="27" t="s">
        <v>1472</v>
      </c>
      <c r="H55" s="50" t="s">
        <v>1619</v>
      </c>
      <c r="I55" t="s">
        <v>837</v>
      </c>
      <c r="J55" s="50" t="str">
        <f>IFERROR(VLOOKUP(Table358[[#This Row],[R&amp;D Tags]],'Old List of R&amp;D Tags vs IDI'!H:H,1,FALSE), " ")</f>
        <v>2-504-NI011-X</v>
      </c>
    </row>
    <row r="56" spans="1:10" x14ac:dyDescent="0.25">
      <c r="A56" s="6" t="s">
        <v>244</v>
      </c>
      <c r="B56" s="27" t="s">
        <v>1473</v>
      </c>
      <c r="H56" s="50" t="s">
        <v>1616</v>
      </c>
      <c r="I56" t="s">
        <v>825</v>
      </c>
      <c r="J56" s="50" t="str">
        <f>IFERROR(VLOOKUP(Table358[[#This Row],[R&amp;D Tags]],'Old List of R&amp;D Tags vs IDI'!H:H,1,FALSE), " ")</f>
        <v>2-504-NI010-X</v>
      </c>
    </row>
    <row r="57" spans="1:10" x14ac:dyDescent="0.25">
      <c r="A57" s="6" t="s">
        <v>248</v>
      </c>
      <c r="B57" s="27" t="s">
        <v>1474</v>
      </c>
      <c r="H57" s="50" t="s">
        <v>1629</v>
      </c>
      <c r="I57" t="s">
        <v>877</v>
      </c>
      <c r="J57" s="50" t="str">
        <f>IFERROR(VLOOKUP(Table358[[#This Row],[R&amp;D Tags]],'Old List of R&amp;D Tags vs IDI'!H:H,1,FALSE), " ")</f>
        <v>2-404-UZ001-U</v>
      </c>
    </row>
    <row r="58" spans="1:10" x14ac:dyDescent="0.25">
      <c r="A58" t="s">
        <v>665</v>
      </c>
      <c r="B58" s="27" t="s">
        <v>1475</v>
      </c>
      <c r="H58" s="50" t="s">
        <v>1630</v>
      </c>
      <c r="I58" t="s">
        <v>677</v>
      </c>
      <c r="J58" s="50" t="str">
        <f>IFERROR(VLOOKUP(Table358[[#This Row],[R&amp;D Tags]],'Old List of R&amp;D Tags vs IDI'!H:H,1,FALSE), " ")</f>
        <v>2-404-UZ001-O</v>
      </c>
    </row>
    <row r="59" spans="1:10" x14ac:dyDescent="0.25">
      <c r="A59" t="s">
        <v>1148</v>
      </c>
      <c r="B59" s="27" t="s">
        <v>1476</v>
      </c>
      <c r="H59" s="50" t="s">
        <v>1618</v>
      </c>
      <c r="I59" t="s">
        <v>833</v>
      </c>
      <c r="J59" s="50" t="str">
        <f>IFERROR(VLOOKUP(Table358[[#This Row],[R&amp;D Tags]],'Old List of R&amp;D Tags vs IDI'!H:H,1,FALSE), " ")</f>
        <v>2-404-NI010-X</v>
      </c>
    </row>
    <row r="60" spans="1:10" x14ac:dyDescent="0.25">
      <c r="A60" t="s">
        <v>1173</v>
      </c>
      <c r="B60" s="27" t="s">
        <v>1477</v>
      </c>
      <c r="H60" s="50" t="s">
        <v>1617</v>
      </c>
      <c r="I60" t="s">
        <v>829</v>
      </c>
      <c r="J60" s="50" t="str">
        <f>IFERROR(VLOOKUP(Table358[[#This Row],[R&amp;D Tags]],'Old List of R&amp;D Tags vs IDI'!H:H,1,FALSE), " ")</f>
        <v>2-404-NC011-X</v>
      </c>
    </row>
    <row r="61" spans="1:10" x14ac:dyDescent="0.25">
      <c r="A61" t="s">
        <v>1157</v>
      </c>
      <c r="B61" s="27" t="s">
        <v>1478</v>
      </c>
      <c r="H61" s="50" t="s">
        <v>1647</v>
      </c>
      <c r="I61" t="s">
        <v>929</v>
      </c>
      <c r="J61" s="50" t="str">
        <f>IFERROR(VLOOKUP(Table358[[#This Row],[R&amp;D Tags]],'Old List of R&amp;D Tags vs IDI'!H:H,1,FALSE), " ")</f>
        <v>2-346-FI050-X</v>
      </c>
    </row>
    <row r="62" spans="1:10" x14ac:dyDescent="0.25">
      <c r="A62" t="s">
        <v>1260</v>
      </c>
      <c r="B62" s="27" t="s">
        <v>1479</v>
      </c>
      <c r="H62" s="50" t="s">
        <v>1658</v>
      </c>
      <c r="I62" t="s">
        <v>929</v>
      </c>
      <c r="J62" s="50" t="str">
        <f>IFERROR(VLOOKUP(Table358[[#This Row],[R&amp;D Tags]],'Old List of R&amp;D Tags vs IDI'!H:H,1,FALSE), " ")</f>
        <v>2-346-FI050-X</v>
      </c>
    </row>
    <row r="63" spans="1:10" x14ac:dyDescent="0.25">
      <c r="A63" t="s">
        <v>1165</v>
      </c>
      <c r="B63" s="27" t="s">
        <v>1351</v>
      </c>
      <c r="H63" s="50" t="s">
        <v>1634</v>
      </c>
      <c r="I63" t="s">
        <v>673</v>
      </c>
      <c r="J63" s="50" t="str">
        <f>IFERROR(VLOOKUP(Table358[[#This Row],[R&amp;D Tags]],'Old List of R&amp;D Tags vs IDI'!H:H,1,FALSE), " ")</f>
        <v>2-304-UZ001-D9</v>
      </c>
    </row>
    <row r="64" spans="1:10" x14ac:dyDescent="0.25">
      <c r="A64" t="s">
        <v>1193</v>
      </c>
      <c r="B64" s="26" t="s">
        <v>1480</v>
      </c>
      <c r="H64" s="50" t="s">
        <v>1646</v>
      </c>
      <c r="I64" t="s">
        <v>925</v>
      </c>
      <c r="J64" s="50" t="str">
        <f>IFERROR(VLOOKUP(Table358[[#This Row],[R&amp;D Tags]],'Old List of R&amp;D Tags vs IDI'!H:H,1,FALSE), " ")</f>
        <v>2-246-FI050-X</v>
      </c>
    </row>
    <row r="65" spans="1:10" x14ac:dyDescent="0.25">
      <c r="A65" t="s">
        <v>1197</v>
      </c>
      <c r="B65" s="27" t="s">
        <v>1481</v>
      </c>
      <c r="H65" s="50" t="s">
        <v>1657</v>
      </c>
      <c r="I65" t="s">
        <v>925</v>
      </c>
      <c r="J65" s="50" t="str">
        <f>IFERROR(VLOOKUP(Table358[[#This Row],[R&amp;D Tags]],'Old List of R&amp;D Tags vs IDI'!H:H,1,FALSE), " ")</f>
        <v>2-246-FI050-X</v>
      </c>
    </row>
    <row r="66" spans="1:10" x14ac:dyDescent="0.25">
      <c r="A66" t="s">
        <v>1216</v>
      </c>
      <c r="B66" s="26" t="s">
        <v>1482</v>
      </c>
      <c r="H66" s="50" t="s">
        <v>1681</v>
      </c>
      <c r="I66" t="s">
        <v>885</v>
      </c>
      <c r="J66" s="50" t="str">
        <f>IFERROR(VLOOKUP(Table358[[#This Row],[R&amp;D Tags]],'Old List of R&amp;D Tags vs IDI'!H:H,1,FALSE), " ")</f>
        <v>2-238-UZ001-D4</v>
      </c>
    </row>
    <row r="67" spans="1:10" x14ac:dyDescent="0.25">
      <c r="A67" t="s">
        <v>172</v>
      </c>
      <c r="B67" s="27" t="s">
        <v>1483</v>
      </c>
      <c r="H67" s="50" t="s">
        <v>1674</v>
      </c>
      <c r="I67" t="s">
        <v>1024</v>
      </c>
      <c r="J67" s="50" t="str">
        <f>IFERROR(VLOOKUP(Table358[[#This Row],[R&amp;D Tags]],'Old List of R&amp;D Tags vs IDI'!H:H,1,FALSE), " ")</f>
        <v>2-238-PI090-X</v>
      </c>
    </row>
    <row r="68" spans="1:10" x14ac:dyDescent="0.25">
      <c r="A68" t="s">
        <v>169</v>
      </c>
      <c r="B68" s="27" t="s">
        <v>1484</v>
      </c>
      <c r="H68" s="50" t="s">
        <v>1635</v>
      </c>
      <c r="I68" t="s">
        <v>669</v>
      </c>
      <c r="J68" s="50" t="str">
        <f>IFERROR(VLOOKUP(Table358[[#This Row],[R&amp;D Tags]],'Old List of R&amp;D Tags vs IDI'!H:H,1,FALSE), " ")</f>
        <v>2-204-UZ001-D9</v>
      </c>
    </row>
    <row r="69" spans="1:10" x14ac:dyDescent="0.25">
      <c r="A69" t="s">
        <v>139</v>
      </c>
      <c r="B69" s="27" t="s">
        <v>1485</v>
      </c>
      <c r="H69" s="50" t="s">
        <v>1641</v>
      </c>
      <c r="I69" t="s">
        <v>909</v>
      </c>
      <c r="J69" s="50" t="str">
        <f>IFERROR(VLOOKUP(Table358[[#This Row],[R&amp;D Tags]],'Old List of R&amp;D Tags vs IDI'!H:H,1,FALSE), " ")</f>
        <v>2-203-PI084-X</v>
      </c>
    </row>
    <row r="70" spans="1:10" x14ac:dyDescent="0.25">
      <c r="A70" t="s">
        <v>166</v>
      </c>
      <c r="B70" s="27" t="s">
        <v>1486</v>
      </c>
      <c r="H70" s="50" t="s">
        <v>1626</v>
      </c>
      <c r="I70" t="s">
        <v>865</v>
      </c>
      <c r="J70" s="50" t="str">
        <f>IFERROR(VLOOKUP(Table358[[#This Row],[R&amp;D Tags]],'Old List of R&amp;D Tags vs IDI'!H:H,1,FALSE), " ")</f>
        <v>2-199-PI074-X</v>
      </c>
    </row>
    <row r="71" spans="1:10" x14ac:dyDescent="0.25">
      <c r="A71" t="s">
        <v>163</v>
      </c>
      <c r="B71" s="27" t="s">
        <v>1487</v>
      </c>
      <c r="H71" s="50" t="s">
        <v>1625</v>
      </c>
      <c r="I71" t="s">
        <v>861</v>
      </c>
      <c r="J71" s="50" t="str">
        <f>IFERROR(VLOOKUP(Table358[[#This Row],[R&amp;D Tags]],'Old List of R&amp;D Tags vs IDI'!H:H,1,FALSE), " ")</f>
        <v>2-199-PI073-X</v>
      </c>
    </row>
    <row r="72" spans="1:10" x14ac:dyDescent="0.25">
      <c r="A72" t="s">
        <v>131</v>
      </c>
      <c r="B72" s="27" t="s">
        <v>1488</v>
      </c>
      <c r="H72" s="50" t="s">
        <v>1624</v>
      </c>
      <c r="I72" t="s">
        <v>857</v>
      </c>
      <c r="J72" s="50" t="str">
        <f>IFERROR(VLOOKUP(Table358[[#This Row],[R&amp;D Tags]],'Old List of R&amp;D Tags vs IDI'!H:H,1,FALSE), " ")</f>
        <v>2-199-PI072-X</v>
      </c>
    </row>
    <row r="73" spans="1:10" x14ac:dyDescent="0.25">
      <c r="A73" t="s">
        <v>134</v>
      </c>
      <c r="B73" s="27" t="s">
        <v>1489</v>
      </c>
      <c r="H73" s="50" t="s">
        <v>1623</v>
      </c>
      <c r="I73" t="s">
        <v>853</v>
      </c>
      <c r="J73" s="50" t="str">
        <f>IFERROR(VLOOKUP(Table358[[#This Row],[R&amp;D Tags]],'Old List of R&amp;D Tags vs IDI'!H:H,1,FALSE), " ")</f>
        <v>2-199-PI071-X</v>
      </c>
    </row>
    <row r="74" spans="1:10" x14ac:dyDescent="0.25">
      <c r="A74" t="s">
        <v>128</v>
      </c>
      <c r="B74" s="27" t="s">
        <v>1490</v>
      </c>
      <c r="H74" s="50" t="s">
        <v>1622</v>
      </c>
      <c r="I74" t="s">
        <v>849</v>
      </c>
      <c r="J74" s="50" t="str">
        <f>IFERROR(VLOOKUP(Table358[[#This Row],[R&amp;D Tags]],'Old List of R&amp;D Tags vs IDI'!H:H,1,FALSE), " ")</f>
        <v>2-199-PI066-X</v>
      </c>
    </row>
    <row r="75" spans="1:10" x14ac:dyDescent="0.25">
      <c r="A75" t="s">
        <v>143</v>
      </c>
      <c r="B75" s="27" t="s">
        <v>1491</v>
      </c>
      <c r="H75" s="50" t="s">
        <v>1621</v>
      </c>
      <c r="I75" t="s">
        <v>845</v>
      </c>
      <c r="J75" s="50" t="str">
        <f>IFERROR(VLOOKUP(Table358[[#This Row],[R&amp;D Tags]],'Old List of R&amp;D Tags vs IDI'!H:H,1,FALSE), " ")</f>
        <v>2-199-PI065-X</v>
      </c>
    </row>
    <row r="76" spans="1:10" x14ac:dyDescent="0.25">
      <c r="A76" t="s">
        <v>1079</v>
      </c>
      <c r="B76" s="27" t="s">
        <v>1492</v>
      </c>
      <c r="H76" s="50" t="s">
        <v>1620</v>
      </c>
      <c r="I76" t="s">
        <v>841</v>
      </c>
      <c r="J76" s="50" t="str">
        <f>IFERROR(VLOOKUP(Table358[[#This Row],[R&amp;D Tags]],'Old List of R&amp;D Tags vs IDI'!H:H,1,FALSE), " ")</f>
        <v>2-199-PI064-X</v>
      </c>
    </row>
    <row r="77" spans="1:10" x14ac:dyDescent="0.25">
      <c r="A77" t="s">
        <v>1091</v>
      </c>
      <c r="B77" s="27" t="s">
        <v>1493</v>
      </c>
      <c r="H77" s="50" t="s">
        <v>1628</v>
      </c>
      <c r="I77" t="s">
        <v>873</v>
      </c>
      <c r="J77" s="50" t="str">
        <f>IFERROR(VLOOKUP(Table358[[#This Row],[R&amp;D Tags]],'Old List of R&amp;D Tags vs IDI'!H:H,1,FALSE), " ")</f>
        <v>2-199-PI002-X</v>
      </c>
    </row>
    <row r="78" spans="1:10" x14ac:dyDescent="0.25">
      <c r="A78" t="s">
        <v>1161</v>
      </c>
      <c r="B78" s="27" t="s">
        <v>1494</v>
      </c>
      <c r="H78" s="50" t="s">
        <v>1627</v>
      </c>
      <c r="I78" t="s">
        <v>869</v>
      </c>
      <c r="J78" s="50" t="str">
        <f>IFERROR(VLOOKUP(Table358[[#This Row],[R&amp;D Tags]],'Old List of R&amp;D Tags vs IDI'!H:H,1,FALSE), " ")</f>
        <v>2-199-PI001-X</v>
      </c>
    </row>
    <row r="79" spans="1:10" x14ac:dyDescent="0.25">
      <c r="A79" t="s">
        <v>157</v>
      </c>
      <c r="B79" s="27" t="s">
        <v>1495</v>
      </c>
      <c r="H79" s="50" t="s">
        <v>1645</v>
      </c>
      <c r="I79" t="s">
        <v>921</v>
      </c>
      <c r="J79" s="50" t="str">
        <f>IFERROR(VLOOKUP(Table358[[#This Row],[R&amp;D Tags]],'Old List of R&amp;D Tags vs IDI'!H:H,1,FALSE), " ")</f>
        <v>2-146-FI050-X</v>
      </c>
    </row>
    <row r="80" spans="1:10" x14ac:dyDescent="0.25">
      <c r="A80" t="s">
        <v>160</v>
      </c>
      <c r="B80" s="27" t="s">
        <v>1496</v>
      </c>
      <c r="H80" s="50" t="s">
        <v>1659</v>
      </c>
      <c r="I80" t="s">
        <v>921</v>
      </c>
      <c r="J80" s="50" t="str">
        <f>IFERROR(VLOOKUP(Table358[[#This Row],[R&amp;D Tags]],'Old List of R&amp;D Tags vs IDI'!H:H,1,FALSE), " ")</f>
        <v>2-146-FI050-X</v>
      </c>
    </row>
    <row r="81" spans="1:10" x14ac:dyDescent="0.25">
      <c r="A81" t="s">
        <v>1083</v>
      </c>
      <c r="B81" s="27" t="s">
        <v>1497</v>
      </c>
      <c r="H81" s="50" t="s">
        <v>1633</v>
      </c>
      <c r="I81" t="s">
        <v>661</v>
      </c>
      <c r="J81" s="50" t="str">
        <f>IFERROR(VLOOKUP(Table358[[#This Row],[R&amp;D Tags]],'Old List of R&amp;D Tags vs IDI'!H:H,1,FALSE), " ")</f>
        <v>2-104-UZ001-D9</v>
      </c>
    </row>
    <row r="82" spans="1:10" x14ac:dyDescent="0.25">
      <c r="A82" t="s">
        <v>1099</v>
      </c>
      <c r="B82" s="27" t="s">
        <v>1498</v>
      </c>
      <c r="H82" s="50" t="s">
        <v>1640</v>
      </c>
      <c r="I82" t="s">
        <v>905</v>
      </c>
      <c r="J82" s="50" t="str">
        <f>IFERROR(VLOOKUP(Table358[[#This Row],[R&amp;D Tags]],'Old List of R&amp;D Tags vs IDI'!H:H,1,FALSE), " ")</f>
        <v>2-103-PC084-X</v>
      </c>
    </row>
    <row r="83" spans="1:10" x14ac:dyDescent="0.25">
      <c r="A83" t="s">
        <v>1103</v>
      </c>
      <c r="B83" s="27" t="s">
        <v>1499</v>
      </c>
      <c r="H83" s="50" t="s">
        <v>1648</v>
      </c>
      <c r="I83" t="s">
        <v>934</v>
      </c>
      <c r="J83" s="50" t="str">
        <f>IFERROR(VLOOKUP(Table358[[#This Row],[R&amp;D Tags]],'Old List of R&amp;D Tags vs IDI'!H:H,1,FALSE), " ")</f>
        <v>2-103-FI050-X</v>
      </c>
    </row>
    <row r="84" spans="1:10" x14ac:dyDescent="0.25">
      <c r="A84" t="s">
        <v>1111</v>
      </c>
      <c r="B84" s="27" t="s">
        <v>1500</v>
      </c>
      <c r="H84" s="50" t="s">
        <v>1656</v>
      </c>
      <c r="I84" t="s">
        <v>934</v>
      </c>
      <c r="J84" s="50" t="str">
        <f>IFERROR(VLOOKUP(Table358[[#This Row],[R&amp;D Tags]],'Old List of R&amp;D Tags vs IDI'!H:H,1,FALSE), " ")</f>
        <v>2-103-FI050-X</v>
      </c>
    </row>
    <row r="85" spans="1:10" x14ac:dyDescent="0.25">
      <c r="A85" t="s">
        <v>1107</v>
      </c>
      <c r="B85" s="27" t="s">
        <v>1501</v>
      </c>
      <c r="H85" s="50" t="s">
        <v>1558</v>
      </c>
      <c r="I85" t="s">
        <v>589</v>
      </c>
      <c r="J85" s="50" t="str">
        <f>IFERROR(VLOOKUP(Table358[[#This Row],[R&amp;D Tags]],'Old List of R&amp;D Tags vs IDI'!H:H,1,FALSE), " ")</f>
        <v>2-076-TI050_01-X</v>
      </c>
    </row>
    <row r="86" spans="1:10" x14ac:dyDescent="0.25">
      <c r="A86" t="s">
        <v>1433</v>
      </c>
      <c r="B86" s="27" t="s">
        <v>1502</v>
      </c>
      <c r="H86" s="50" t="s">
        <v>1555</v>
      </c>
      <c r="I86" t="s">
        <v>576</v>
      </c>
      <c r="J86" s="50" t="str">
        <f>IFERROR(VLOOKUP(Table358[[#This Row],[R&amp;D Tags]],'Old List of R&amp;D Tags vs IDI'!H:H,1,FALSE), " ")</f>
        <v>2-076-TI040_01-X</v>
      </c>
    </row>
    <row r="87" spans="1:10" x14ac:dyDescent="0.25">
      <c r="A87" t="s">
        <v>1437</v>
      </c>
      <c r="B87" s="27" t="s">
        <v>1503</v>
      </c>
      <c r="H87" s="50" t="s">
        <v>1552</v>
      </c>
      <c r="I87" t="s">
        <v>560</v>
      </c>
      <c r="J87" s="50" t="str">
        <f>IFERROR(VLOOKUP(Table358[[#This Row],[R&amp;D Tags]],'Old List of R&amp;D Tags vs IDI'!H:H,1,FALSE), " ")</f>
        <v>2-076-TC030_01-X</v>
      </c>
    </row>
    <row r="88" spans="1:10" x14ac:dyDescent="0.25">
      <c r="A88" t="s">
        <v>1441</v>
      </c>
      <c r="B88" s="27" t="s">
        <v>1504</v>
      </c>
      <c r="H88" s="50" t="s">
        <v>1548</v>
      </c>
      <c r="I88" t="s">
        <v>531</v>
      </c>
      <c r="J88" s="50" t="str">
        <f>IFERROR(VLOOKUP(Table358[[#This Row],[R&amp;D Tags]],'Old List of R&amp;D Tags vs IDI'!H:H,1,FALSE), " ")</f>
        <v>2-076-SCHNECKEN-X</v>
      </c>
    </row>
    <row r="89" spans="1:10" x14ac:dyDescent="0.25">
      <c r="A89" t="s">
        <v>137</v>
      </c>
      <c r="B89" s="27" t="s">
        <v>1271</v>
      </c>
      <c r="H89" s="50" t="s">
        <v>1550</v>
      </c>
      <c r="I89" t="s">
        <v>547</v>
      </c>
      <c r="J89" s="50" t="str">
        <f>IFERROR(VLOOKUP(Table358[[#This Row],[R&amp;D Tags]],'Old List of R&amp;D Tags vs IDI'!H:H,1,FALSE), " ")</f>
        <v>2-076-PI061_01-X</v>
      </c>
    </row>
    <row r="90" spans="1:10" x14ac:dyDescent="0.25">
      <c r="A90" t="s">
        <v>1256</v>
      </c>
      <c r="B90" s="27" t="s">
        <v>1279</v>
      </c>
      <c r="H90" s="50" t="s">
        <v>1555</v>
      </c>
      <c r="I90" t="s">
        <v>572</v>
      </c>
      <c r="J90" s="50" t="str">
        <f>IFERROR(VLOOKUP(Table358[[#This Row],[R&amp;D Tags]],'Old List of R&amp;D Tags vs IDI'!H:H,1,FALSE), " ")</f>
        <v>2-076-PI030_01-X</v>
      </c>
    </row>
    <row r="91" spans="1:10" x14ac:dyDescent="0.25">
      <c r="A91" t="s">
        <v>1127</v>
      </c>
      <c r="B91" s="27" t="s">
        <v>1505</v>
      </c>
      <c r="H91" s="50" t="s">
        <v>1551</v>
      </c>
      <c r="I91" t="s">
        <v>551</v>
      </c>
      <c r="J91" s="50" t="str">
        <f>IFERROR(VLOOKUP(Table358[[#This Row],[R&amp;D Tags]],'Old List of R&amp;D Tags vs IDI'!H:H,1,FALSE), " ")</f>
        <v>2-076-PI021_01-X</v>
      </c>
    </row>
    <row r="92" spans="1:10" x14ac:dyDescent="0.25">
      <c r="A92" t="s">
        <v>1123</v>
      </c>
      <c r="B92" s="27" t="s">
        <v>1506</v>
      </c>
      <c r="H92" s="50" t="s">
        <v>1551</v>
      </c>
      <c r="I92" t="s">
        <v>555</v>
      </c>
      <c r="J92" s="50" t="str">
        <f>IFERROR(VLOOKUP(Table358[[#This Row],[R&amp;D Tags]],'Old List of R&amp;D Tags vs IDI'!H:H,1,FALSE), " ")</f>
        <v>2-076-PC070_01-X</v>
      </c>
    </row>
    <row r="93" spans="1:10" x14ac:dyDescent="0.25">
      <c r="A93" t="s">
        <v>34</v>
      </c>
      <c r="B93" s="27" t="s">
        <v>1507</v>
      </c>
      <c r="H93" s="50" t="s">
        <v>1579</v>
      </c>
      <c r="I93" t="s">
        <v>555</v>
      </c>
      <c r="J93" s="50" t="str">
        <f>IFERROR(VLOOKUP(Table358[[#This Row],[R&amp;D Tags]],'Old List of R&amp;D Tags vs IDI'!H:H,1,FALSE), " ")</f>
        <v>2-076-PC070_01-X</v>
      </c>
    </row>
    <row r="94" spans="1:10" x14ac:dyDescent="0.25">
      <c r="A94" t="s">
        <v>1189</v>
      </c>
      <c r="B94" s="27" t="s">
        <v>1508</v>
      </c>
      <c r="H94" s="50" t="s">
        <v>1560</v>
      </c>
      <c r="I94" t="s">
        <v>597</v>
      </c>
      <c r="J94" s="50" t="str">
        <f>IFERROR(VLOOKUP(Table358[[#This Row],[R&amp;D Tags]],'Old List of R&amp;D Tags vs IDI'!H:H,1,FALSE), " ")</f>
        <v>2-076-PC050_01-X</v>
      </c>
    </row>
    <row r="95" spans="1:10" x14ac:dyDescent="0.25">
      <c r="A95" t="s">
        <v>1153</v>
      </c>
      <c r="B95" s="27" t="s">
        <v>1509</v>
      </c>
      <c r="H95" s="50" t="s">
        <v>1556</v>
      </c>
      <c r="I95" t="s">
        <v>580</v>
      </c>
      <c r="J95" s="50" t="str">
        <f>IFERROR(VLOOKUP(Table358[[#This Row],[R&amp;D Tags]],'Old List of R&amp;D Tags vs IDI'!H:H,1,FALSE), " ")</f>
        <v>2-076-PC040_01-X</v>
      </c>
    </row>
    <row r="96" spans="1:10" x14ac:dyDescent="0.25">
      <c r="A96" t="s">
        <v>1143</v>
      </c>
      <c r="B96" s="27" t="s">
        <v>1510</v>
      </c>
      <c r="H96" s="50" t="s">
        <v>1557</v>
      </c>
      <c r="I96" t="s">
        <v>585</v>
      </c>
      <c r="J96" s="50" t="str">
        <f>IFERROR(VLOOKUP(Table358[[#This Row],[R&amp;D Tags]],'Old List of R&amp;D Tags vs IDI'!H:H,1,FALSE), " ")</f>
        <v>2-076-LI050_01-X</v>
      </c>
    </row>
    <row r="97" spans="1:10" x14ac:dyDescent="0.25">
      <c r="A97" t="s">
        <v>1135</v>
      </c>
      <c r="B97" s="27" t="s">
        <v>1511</v>
      </c>
      <c r="H97" s="50" t="s">
        <v>1548</v>
      </c>
      <c r="I97" t="s">
        <v>535</v>
      </c>
      <c r="J97" s="50" t="str">
        <f>IFERROR(VLOOKUP(Table358[[#This Row],[R&amp;D Tags]],'Old List of R&amp;D Tags vs IDI'!H:H,1,FALSE), " ")</f>
        <v>2-076-LC061_01-X</v>
      </c>
    </row>
    <row r="98" spans="1:10" x14ac:dyDescent="0.25">
      <c r="A98" t="s">
        <v>1131</v>
      </c>
      <c r="B98" s="27" t="s">
        <v>1512</v>
      </c>
      <c r="H98" s="50" t="s">
        <v>1553</v>
      </c>
      <c r="I98" t="s">
        <v>564</v>
      </c>
      <c r="J98" s="50" t="str">
        <f>IFERROR(VLOOKUP(Table358[[#This Row],[R&amp;D Tags]],'Old List of R&amp;D Tags vs IDI'!H:H,1,FALSE), " ")</f>
        <v>2-076-LC030_01-X</v>
      </c>
    </row>
    <row r="99" spans="1:10" x14ac:dyDescent="0.25">
      <c r="A99" t="s">
        <v>1087</v>
      </c>
      <c r="B99" s="27" t="s">
        <v>1513</v>
      </c>
      <c r="H99" s="50" t="s">
        <v>1543</v>
      </c>
      <c r="I99" t="s">
        <v>511</v>
      </c>
      <c r="J99" s="50" t="str">
        <f>IFERROR(VLOOKUP(Table358[[#This Row],[R&amp;D Tags]],'Old List of R&amp;D Tags vs IDI'!H:H,1,FALSE), " ")</f>
        <v>2-076-LC021_01-Y</v>
      </c>
    </row>
    <row r="100" spans="1:10" x14ac:dyDescent="0.25">
      <c r="A100" t="s">
        <v>1095</v>
      </c>
      <c r="B100" s="27" t="s">
        <v>1514</v>
      </c>
      <c r="H100" s="50" t="s">
        <v>1544</v>
      </c>
      <c r="I100" t="s">
        <v>515</v>
      </c>
      <c r="J100" s="50" t="str">
        <f>IFERROR(VLOOKUP(Table358[[#This Row],[R&amp;D Tags]],'Old List of R&amp;D Tags vs IDI'!H:H,1,FALSE), " ")</f>
        <v>2-076-LC021_01-X</v>
      </c>
    </row>
    <row r="101" spans="1:10" x14ac:dyDescent="0.25">
      <c r="A101" t="s">
        <v>1055</v>
      </c>
      <c r="B101" s="27" t="s">
        <v>1515</v>
      </c>
      <c r="H101" s="50" t="s">
        <v>1538</v>
      </c>
      <c r="I101" t="s">
        <v>490</v>
      </c>
      <c r="J101" s="50" t="str">
        <f>IFERROR(VLOOKUP(Table358[[#This Row],[R&amp;D Tags]],'Old List of R&amp;D Tags vs IDI'!H:H,1,FALSE), " ")</f>
        <v>2-076-LC011_01-Y</v>
      </c>
    </row>
    <row r="102" spans="1:10" x14ac:dyDescent="0.25">
      <c r="A102" t="s">
        <v>1063</v>
      </c>
      <c r="B102" s="27" t="s">
        <v>1355</v>
      </c>
      <c r="H102" s="50" t="s">
        <v>1547</v>
      </c>
      <c r="I102" t="s">
        <v>527</v>
      </c>
      <c r="J102" s="50" t="str">
        <f>IFERROR(VLOOKUP(Table358[[#This Row],[R&amp;D Tags]],'Old List of R&amp;D Tags vs IDI'!H:H,1,FALSE), " ")</f>
        <v>2-076-FC065_01-X</v>
      </c>
    </row>
    <row r="103" spans="1:10" x14ac:dyDescent="0.25">
      <c r="A103" t="s">
        <v>1071</v>
      </c>
      <c r="B103" s="27" t="s">
        <v>1363</v>
      </c>
      <c r="H103" s="50" t="s">
        <v>1549</v>
      </c>
      <c r="I103" t="s">
        <v>543</v>
      </c>
      <c r="J103" s="50" t="str">
        <f>IFERROR(VLOOKUP(Table358[[#This Row],[R&amp;D Tags]],'Old List of R&amp;D Tags vs IDI'!H:H,1,FALSE), " ")</f>
        <v>2-076-FC061_02-X</v>
      </c>
    </row>
    <row r="104" spans="1:10" x14ac:dyDescent="0.25">
      <c r="A104" t="s">
        <v>1119</v>
      </c>
      <c r="B104" s="27" t="s">
        <v>1516</v>
      </c>
      <c r="H104" s="50" t="s">
        <v>1549</v>
      </c>
      <c r="I104" t="s">
        <v>539</v>
      </c>
      <c r="J104" s="50" t="str">
        <f>IFERROR(VLOOKUP(Table358[[#This Row],[R&amp;D Tags]],'Old List of R&amp;D Tags vs IDI'!H:H,1,FALSE), " ")</f>
        <v>2-076-FC061_01-X</v>
      </c>
    </row>
    <row r="105" spans="1:10" x14ac:dyDescent="0.25">
      <c r="A105" t="s">
        <v>1181</v>
      </c>
      <c r="B105" s="27" t="s">
        <v>1517</v>
      </c>
      <c r="H105" s="50" t="s">
        <v>1559</v>
      </c>
      <c r="I105" t="s">
        <v>593</v>
      </c>
      <c r="J105" s="50" t="str">
        <f>IFERROR(VLOOKUP(Table358[[#This Row],[R&amp;D Tags]],'Old List of R&amp;D Tags vs IDI'!H:H,1,FALSE), " ")</f>
        <v>2-076-FC050_01-X</v>
      </c>
    </row>
    <row r="106" spans="1:10" x14ac:dyDescent="0.25">
      <c r="A106" t="s">
        <v>1139</v>
      </c>
      <c r="B106" s="27" t="s">
        <v>1518</v>
      </c>
      <c r="H106" s="50" t="s">
        <v>1554</v>
      </c>
      <c r="I106" t="s">
        <v>568</v>
      </c>
      <c r="J106" s="50" t="str">
        <f>IFERROR(VLOOKUP(Table358[[#This Row],[R&amp;D Tags]],'Old List of R&amp;D Tags vs IDI'!H:H,1,FALSE), " ")</f>
        <v>2-076-FC030_01-X</v>
      </c>
    </row>
    <row r="107" spans="1:10" x14ac:dyDescent="0.25">
      <c r="A107" t="s">
        <v>1169</v>
      </c>
      <c r="B107" s="27" t="s">
        <v>1519</v>
      </c>
      <c r="H107" s="50" t="s">
        <v>1542</v>
      </c>
      <c r="I107" t="s">
        <v>507</v>
      </c>
      <c r="J107" s="50" t="str">
        <f>IFERROR(VLOOKUP(Table358[[#This Row],[R&amp;D Tags]],'Old List of R&amp;D Tags vs IDI'!H:H,1,FALSE), " ")</f>
        <v>2-076-FC025_01-X</v>
      </c>
    </row>
    <row r="108" spans="1:10" x14ac:dyDescent="0.25">
      <c r="A108" t="s">
        <v>1075</v>
      </c>
      <c r="B108" s="27" t="s">
        <v>1520</v>
      </c>
      <c r="H108" s="50" t="s">
        <v>1546</v>
      </c>
      <c r="I108" t="s">
        <v>523</v>
      </c>
      <c r="J108" s="50" t="str">
        <f>IFERROR(VLOOKUP(Table358[[#This Row],[R&amp;D Tags]],'Old List of R&amp;D Tags vs IDI'!H:H,1,FALSE), " ")</f>
        <v>2-076-FC021_02-X</v>
      </c>
    </row>
    <row r="109" spans="1:10" x14ac:dyDescent="0.25">
      <c r="A109" t="s">
        <v>1059</v>
      </c>
      <c r="B109" s="27" t="s">
        <v>765</v>
      </c>
      <c r="H109" s="50" t="s">
        <v>1545</v>
      </c>
      <c r="I109" t="s">
        <v>519</v>
      </c>
      <c r="J109" s="50" t="str">
        <f>IFERROR(VLOOKUP(Table358[[#This Row],[R&amp;D Tags]],'Old List of R&amp;D Tags vs IDI'!H:H,1,FALSE), " ")</f>
        <v>2-076-FC021_01-X</v>
      </c>
    </row>
    <row r="110" spans="1:10" x14ac:dyDescent="0.25">
      <c r="A110" t="s">
        <v>1067</v>
      </c>
      <c r="B110" s="27" t="s">
        <v>761</v>
      </c>
      <c r="H110" s="50" t="s">
        <v>1537</v>
      </c>
      <c r="I110" t="s">
        <v>486</v>
      </c>
      <c r="J110" s="50" t="str">
        <f>IFERROR(VLOOKUP(Table358[[#This Row],[R&amp;D Tags]],'Old List of R&amp;D Tags vs IDI'!H:H,1,FALSE), " ")</f>
        <v>2-076-FC015_01-X</v>
      </c>
    </row>
    <row r="111" spans="1:10" x14ac:dyDescent="0.25">
      <c r="A111" t="s">
        <v>1115</v>
      </c>
      <c r="B111" s="31" t="s">
        <v>197</v>
      </c>
      <c r="H111" s="50" t="s">
        <v>1541</v>
      </c>
      <c r="I111" t="s">
        <v>503</v>
      </c>
      <c r="J111" s="50" t="str">
        <f>IFERROR(VLOOKUP(Table358[[#This Row],[R&amp;D Tags]],'Old List of R&amp;D Tags vs IDI'!H:H,1,FALSE), " ")</f>
        <v>2-076-FC011_02-X</v>
      </c>
    </row>
    <row r="112" spans="1:10" x14ac:dyDescent="0.25">
      <c r="A112" t="s">
        <v>657</v>
      </c>
      <c r="B112" s="37" t="s">
        <v>200</v>
      </c>
      <c r="H112" s="50" t="s">
        <v>1540</v>
      </c>
      <c r="I112" t="s">
        <v>499</v>
      </c>
      <c r="J112" s="50" t="str">
        <f>IFERROR(VLOOKUP(Table358[[#This Row],[R&amp;D Tags]],'Old List of R&amp;D Tags vs IDI'!H:H,1,FALSE), " ")</f>
        <v>2-076-FC011_01-X</v>
      </c>
    </row>
    <row r="113" spans="1:10" x14ac:dyDescent="0.25">
      <c r="A113" t="s">
        <v>194</v>
      </c>
      <c r="B113" s="31" t="s">
        <v>206</v>
      </c>
      <c r="H113" s="50" t="s">
        <v>1484</v>
      </c>
      <c r="I113" t="s">
        <v>124</v>
      </c>
      <c r="J113" s="50" t="str">
        <f>IFERROR(VLOOKUP(Table358[[#This Row],[R&amp;D Tags]],'Old List of R&amp;D Tags vs IDI'!H:H,1,FALSE), " ")</f>
        <v>2-060-YP052_02-X</v>
      </c>
    </row>
    <row r="114" spans="1:10" x14ac:dyDescent="0.25">
      <c r="A114" t="s">
        <v>188</v>
      </c>
      <c r="B114" s="37" t="s">
        <v>203</v>
      </c>
      <c r="H114" s="50" t="s">
        <v>1483</v>
      </c>
      <c r="I114" t="s">
        <v>120</v>
      </c>
      <c r="J114" s="50" t="str">
        <f>IFERROR(VLOOKUP(Table358[[#This Row],[R&amp;D Tags]],'Old List of R&amp;D Tags vs IDI'!H:H,1,FALSE), " ")</f>
        <v>2-060-YP052_01-X</v>
      </c>
    </row>
    <row r="115" spans="1:10" x14ac:dyDescent="0.25">
      <c r="A115" t="s">
        <v>191</v>
      </c>
      <c r="B115" s="32" t="s">
        <v>215</v>
      </c>
      <c r="H115" s="50" t="s">
        <v>1477</v>
      </c>
      <c r="I115" t="s">
        <v>98</v>
      </c>
      <c r="J115" s="50" t="str">
        <f>IFERROR(VLOOKUP(Table358[[#This Row],[R&amp;D Tags]],'Old List of R&amp;D Tags vs IDI'!H:H,1,FALSE), " ")</f>
        <v>2-060-YP048-X</v>
      </c>
    </row>
    <row r="116" spans="1:10" x14ac:dyDescent="0.25">
      <c r="A116" t="s">
        <v>1033</v>
      </c>
      <c r="B116" s="27" t="s">
        <v>212</v>
      </c>
      <c r="H116" s="50" t="s">
        <v>1476</v>
      </c>
      <c r="I116" t="s">
        <v>93</v>
      </c>
      <c r="J116" s="50" t="str">
        <f>IFERROR(VLOOKUP(Table358[[#This Row],[R&amp;D Tags]],'Old List of R&amp;D Tags vs IDI'!H:H,1,FALSE), " ")</f>
        <v>2-060-YP045-X</v>
      </c>
    </row>
    <row r="117" spans="1:10" x14ac:dyDescent="0.25">
      <c r="A117" t="s">
        <v>1244</v>
      </c>
      <c r="B117" s="27" t="s">
        <v>209</v>
      </c>
      <c r="H117" s="50" t="s">
        <v>1482</v>
      </c>
      <c r="I117" t="s">
        <v>118</v>
      </c>
      <c r="J117" s="50" t="str">
        <f>IFERROR(VLOOKUP(Table358[[#This Row],[R&amp;D Tags]],'Old List of R&amp;D Tags vs IDI'!H:H,1,FALSE), " ")</f>
        <v>2-060-WC050_02-X</v>
      </c>
    </row>
    <row r="118" spans="1:10" x14ac:dyDescent="0.25">
      <c r="A118" t="s">
        <v>1233</v>
      </c>
      <c r="B118" s="31" t="s">
        <v>236</v>
      </c>
      <c r="H118" s="50" t="s">
        <v>1481</v>
      </c>
      <c r="I118" t="s">
        <v>116</v>
      </c>
      <c r="J118" s="50" t="str">
        <f>IFERROR(VLOOKUP(Table358[[#This Row],[R&amp;D Tags]],'Old List of R&amp;D Tags vs IDI'!H:H,1,FALSE), " ")</f>
        <v>2-060-WC050_01-X</v>
      </c>
    </row>
    <row r="119" spans="1:10" x14ac:dyDescent="0.25">
      <c r="A119" s="5" t="s">
        <v>1237</v>
      </c>
      <c r="B119" s="27" t="s">
        <v>240</v>
      </c>
      <c r="H119" s="50" t="s">
        <v>1480</v>
      </c>
      <c r="I119" t="s">
        <v>111</v>
      </c>
      <c r="J119" s="50" t="str">
        <f>IFERROR(VLOOKUP(Table358[[#This Row],[R&amp;D Tags]],'Old List of R&amp;D Tags vs IDI'!H:H,1,FALSE), " ")</f>
        <v>2-060-NI003-X</v>
      </c>
    </row>
    <row r="120" spans="1:10" x14ac:dyDescent="0.25">
      <c r="A120" t="s">
        <v>1248</v>
      </c>
      <c r="B120" s="27" t="s">
        <v>233</v>
      </c>
      <c r="H120" s="50" t="s">
        <v>1479</v>
      </c>
      <c r="I120" t="s">
        <v>107</v>
      </c>
      <c r="J120" s="50" t="str">
        <f>IFERROR(VLOOKUP(Table358[[#This Row],[R&amp;D Tags]],'Old List of R&amp;D Tags vs IDI'!H:H,1,FALSE), " ")</f>
        <v>2-060-NI002-X</v>
      </c>
    </row>
    <row r="121" spans="1:10" x14ac:dyDescent="0.25">
      <c r="A121" t="s">
        <v>1252</v>
      </c>
      <c r="B121" s="27" t="s">
        <v>230</v>
      </c>
      <c r="H121" s="50" t="s">
        <v>1478</v>
      </c>
      <c r="I121" t="s">
        <v>103</v>
      </c>
      <c r="J121" s="50" t="str">
        <f>IFERROR(VLOOKUP(Table358[[#This Row],[R&amp;D Tags]],'Old List of R&amp;D Tags vs IDI'!H:H,1,FALSE), " ")</f>
        <v>2-060-NI001-X</v>
      </c>
    </row>
    <row r="122" spans="1:10" x14ac:dyDescent="0.25">
      <c r="A122" t="s">
        <v>1229</v>
      </c>
      <c r="B122" s="27" t="s">
        <v>218</v>
      </c>
      <c r="H122" s="50" t="s">
        <v>1502</v>
      </c>
      <c r="I122" t="s">
        <v>345</v>
      </c>
      <c r="J122" s="50" t="str">
        <f>IFERROR(VLOOKUP(Table358[[#This Row],[R&amp;D Tags]],'Old List of R&amp;D Tags vs IDI'!H:H,1,FALSE), " ")</f>
        <v>2-044-TI704_NL</v>
      </c>
    </row>
    <row r="123" spans="1:10" x14ac:dyDescent="0.25">
      <c r="A123" t="s">
        <v>1213</v>
      </c>
      <c r="B123" s="27" t="s">
        <v>227</v>
      </c>
      <c r="H123" s="50" t="s">
        <v>1610</v>
      </c>
      <c r="I123" t="s">
        <v>801</v>
      </c>
      <c r="J123" s="50" t="str">
        <f>IFERROR(VLOOKUP(Table358[[#This Row],[R&amp;D Tags]],'Old List of R&amp;D Tags vs IDI'!H:H,1,FALSE), " ")</f>
        <v>2-044-TI504_NL</v>
      </c>
    </row>
    <row r="124" spans="1:10" x14ac:dyDescent="0.25">
      <c r="A124" t="s">
        <v>1220</v>
      </c>
      <c r="B124" s="27" t="s">
        <v>224</v>
      </c>
      <c r="H124" s="50" t="s">
        <v>1607</v>
      </c>
      <c r="I124" t="s">
        <v>785</v>
      </c>
      <c r="J124" s="50" t="str">
        <f>IFERROR(VLOOKUP(Table358[[#This Row],[R&amp;D Tags]],'Old List of R&amp;D Tags vs IDI'!H:H,1,FALSE), " ")</f>
        <v>2-044-TI304_NL</v>
      </c>
    </row>
    <row r="125" spans="1:10" x14ac:dyDescent="0.25">
      <c r="A125" t="s">
        <v>1042</v>
      </c>
      <c r="B125" s="27" t="s">
        <v>221</v>
      </c>
      <c r="H125" s="50" t="s">
        <v>1526</v>
      </c>
      <c r="I125" t="s">
        <v>449</v>
      </c>
      <c r="J125" s="50" t="str">
        <f>IFERROR(VLOOKUP(Table358[[#This Row],[R&amp;D Tags]],'Old List of R&amp;D Tags vs IDI'!H:H,1,FALSE), " ")</f>
        <v>2-044-TC714-X</v>
      </c>
    </row>
    <row r="126" spans="1:10" x14ac:dyDescent="0.25">
      <c r="A126" t="s">
        <v>1051</v>
      </c>
      <c r="B126" s="31" t="s">
        <v>244</v>
      </c>
      <c r="H126" s="50" t="s">
        <v>1488</v>
      </c>
      <c r="I126" t="s">
        <v>286</v>
      </c>
      <c r="J126" s="50" t="str">
        <f>IFERROR(VLOOKUP(Table358[[#This Row],[R&amp;D Tags]],'Old List of R&amp;D Tags vs IDI'!H:H,1,FALSE), " ")</f>
        <v>2-044-TC513-X</v>
      </c>
    </row>
    <row r="127" spans="1:10" x14ac:dyDescent="0.25">
      <c r="A127" t="s">
        <v>1185</v>
      </c>
      <c r="B127" s="31" t="s">
        <v>248</v>
      </c>
      <c r="H127" s="50" t="s">
        <v>1485</v>
      </c>
      <c r="I127" t="s">
        <v>273</v>
      </c>
      <c r="J127" s="50" t="str">
        <f>IFERROR(VLOOKUP(Table358[[#This Row],[R&amp;D Tags]],'Old List of R&amp;D Tags vs IDI'!H:H,1,FALSE), " ")</f>
        <v>2-044-TC413-X</v>
      </c>
    </row>
    <row r="128" spans="1:10" x14ac:dyDescent="0.25">
      <c r="A128" t="s">
        <v>1177</v>
      </c>
      <c r="B128" s="27" t="s">
        <v>1521</v>
      </c>
      <c r="H128" s="50" t="s">
        <v>1612</v>
      </c>
      <c r="I128" t="s">
        <v>809</v>
      </c>
      <c r="J128" s="50" t="str">
        <f>IFERROR(VLOOKUP(Table358[[#This Row],[R&amp;D Tags]],'Old List of R&amp;D Tags vs IDI'!H:H,1,FALSE), " ")</f>
        <v>2-044-TC313-X</v>
      </c>
    </row>
    <row r="129" spans="1:10" x14ac:dyDescent="0.25">
      <c r="A129" t="s">
        <v>175</v>
      </c>
      <c r="B129" s="27" t="s">
        <v>1522</v>
      </c>
      <c r="H129" s="50" t="s">
        <v>1609</v>
      </c>
      <c r="I129" t="s">
        <v>793</v>
      </c>
      <c r="J129" s="50" t="str">
        <f>IFERROR(VLOOKUP(Table358[[#This Row],[R&amp;D Tags]],'Old List of R&amp;D Tags vs IDI'!H:H,1,FALSE), " ")</f>
        <v>2-044-TC213-X</v>
      </c>
    </row>
    <row r="130" spans="1:10" x14ac:dyDescent="0.25">
      <c r="A130" t="s">
        <v>42</v>
      </c>
      <c r="B130" s="27" t="s">
        <v>665</v>
      </c>
      <c r="H130" s="50" t="s">
        <v>1606</v>
      </c>
      <c r="I130" t="s">
        <v>781</v>
      </c>
      <c r="J130" s="50" t="str">
        <f>IFERROR(VLOOKUP(Table358[[#This Row],[R&amp;D Tags]],'Old List of R&amp;D Tags vs IDI'!H:H,1,FALSE), " ")</f>
        <v>2-044-TC113-X</v>
      </c>
    </row>
    <row r="131" spans="1:10" x14ac:dyDescent="0.25">
      <c r="A131" t="s">
        <v>1407</v>
      </c>
      <c r="B131" s="27" t="s">
        <v>1523</v>
      </c>
      <c r="H131" s="50" t="s">
        <v>1527</v>
      </c>
      <c r="I131" t="s">
        <v>453</v>
      </c>
      <c r="J131" s="50" t="str">
        <f>IFERROR(VLOOKUP(Table358[[#This Row],[R&amp;D Tags]],'Old List of R&amp;D Tags vs IDI'!H:H,1,FALSE), " ")</f>
        <v>2-044-PI712-X</v>
      </c>
    </row>
    <row r="132" spans="1:10" x14ac:dyDescent="0.25">
      <c r="A132" t="s">
        <v>1429</v>
      </c>
      <c r="B132" s="27" t="s">
        <v>1148</v>
      </c>
      <c r="H132" s="50" t="s">
        <v>1503</v>
      </c>
      <c r="I132" t="s">
        <v>350</v>
      </c>
      <c r="J132" s="50" t="str">
        <f>IFERROR(VLOOKUP(Table358[[#This Row],[R&amp;D Tags]],'Old List of R&amp;D Tags vs IDI'!H:H,1,FALSE), " ")</f>
        <v>2-044-PC404-X</v>
      </c>
    </row>
    <row r="133" spans="1:10" x14ac:dyDescent="0.25">
      <c r="A133" t="s">
        <v>1419</v>
      </c>
      <c r="B133" s="27" t="s">
        <v>1524</v>
      </c>
      <c r="H133" s="50" t="s">
        <v>1603</v>
      </c>
      <c r="I133" t="s">
        <v>769</v>
      </c>
      <c r="J133" s="50" t="str">
        <f>IFERROR(VLOOKUP(Table358[[#This Row],[R&amp;D Tags]],'Old List of R&amp;D Tags vs IDI'!H:H,1,FALSE), " ")</f>
        <v>2-044-PC104-X</v>
      </c>
    </row>
    <row r="134" spans="1:10" x14ac:dyDescent="0.25">
      <c r="A134" t="s">
        <v>725</v>
      </c>
      <c r="B134" s="27" t="s">
        <v>1173</v>
      </c>
      <c r="H134" s="50" t="s">
        <v>1501</v>
      </c>
      <c r="I134" t="s">
        <v>340</v>
      </c>
      <c r="J134" s="50" t="str">
        <f>IFERROR(VLOOKUP(Table358[[#This Row],[R&amp;D Tags]],'Old List of R&amp;D Tags vs IDI'!H:H,1,FALSE), " ")</f>
        <v>2-044-MC533-X</v>
      </c>
    </row>
    <row r="135" spans="1:10" x14ac:dyDescent="0.25">
      <c r="A135" t="s">
        <v>721</v>
      </c>
      <c r="B135" s="27" t="s">
        <v>1525</v>
      </c>
      <c r="H135" s="50" t="s">
        <v>1608</v>
      </c>
      <c r="I135" t="s">
        <v>789</v>
      </c>
      <c r="J135" s="50" t="str">
        <f>IFERROR(VLOOKUP(Table358[[#This Row],[R&amp;D Tags]],'Old List of R&amp;D Tags vs IDI'!H:H,1,FALSE), " ")</f>
        <v>2-044-MC233-X</v>
      </c>
    </row>
    <row r="136" spans="1:10" x14ac:dyDescent="0.25">
      <c r="A136" t="s">
        <v>733</v>
      </c>
      <c r="B136" s="27" t="s">
        <v>1157</v>
      </c>
      <c r="H136" s="50" t="s">
        <v>1605</v>
      </c>
      <c r="I136" t="s">
        <v>777</v>
      </c>
      <c r="J136" s="50" t="str">
        <f>IFERROR(VLOOKUP(Table358[[#This Row],[R&amp;D Tags]],'Old List of R&amp;D Tags vs IDI'!H:H,1,FALSE), " ")</f>
        <v>2-044-MC133-X</v>
      </c>
    </row>
    <row r="137" spans="1:10" x14ac:dyDescent="0.25">
      <c r="A137" t="s">
        <v>745</v>
      </c>
      <c r="B137" s="27" t="s">
        <v>1260</v>
      </c>
      <c r="H137" s="50" t="s">
        <v>1531</v>
      </c>
      <c r="I137" t="s">
        <v>473</v>
      </c>
      <c r="J137" s="50" t="str">
        <f>IFERROR(VLOOKUP(Table358[[#This Row],[R&amp;D Tags]],'Old List of R&amp;D Tags vs IDI'!H:H,1,FALSE), " ")</f>
        <v>2-033-YP054-X</v>
      </c>
    </row>
    <row r="138" spans="1:10" x14ac:dyDescent="0.25">
      <c r="A138" t="s">
        <v>749</v>
      </c>
      <c r="B138" s="27" t="s">
        <v>1165</v>
      </c>
      <c r="H138" s="50" t="s">
        <v>1527</v>
      </c>
      <c r="I138" t="s">
        <v>457</v>
      </c>
      <c r="J138" s="50" t="str">
        <f>IFERROR(VLOOKUP(Table358[[#This Row],[R&amp;D Tags]],'Old List of R&amp;D Tags vs IDI'!H:H,1,FALSE), " ")</f>
        <v>2-033-YP044-X</v>
      </c>
    </row>
    <row r="139" spans="1:10" x14ac:dyDescent="0.25">
      <c r="A139" t="s">
        <v>310</v>
      </c>
      <c r="B139" s="27" t="s">
        <v>1193</v>
      </c>
      <c r="H139" s="50" t="s">
        <v>1511</v>
      </c>
      <c r="I139" t="s">
        <v>380</v>
      </c>
      <c r="J139" s="50" t="str">
        <f>IFERROR(VLOOKUP(Table358[[#This Row],[R&amp;D Tags]],'Old List of R&amp;D Tags vs IDI'!H:H,1,FALSE), " ")</f>
        <v>2-033-YP021_02-X</v>
      </c>
    </row>
    <row r="140" spans="1:10" x14ac:dyDescent="0.25">
      <c r="A140" t="s">
        <v>322</v>
      </c>
      <c r="B140" s="27" t="s">
        <v>1193</v>
      </c>
      <c r="H140" s="50" t="s">
        <v>1512</v>
      </c>
      <c r="I140" t="s">
        <v>384</v>
      </c>
      <c r="J140" s="50" t="str">
        <f>IFERROR(VLOOKUP(Table358[[#This Row],[R&amp;D Tags]],'Old List of R&amp;D Tags vs IDI'!H:H,1,FALSE), " ")</f>
        <v>2-033-YP021_01-X</v>
      </c>
    </row>
    <row r="141" spans="1:10" x14ac:dyDescent="0.25">
      <c r="A141" t="s">
        <v>685</v>
      </c>
      <c r="B141" s="27" t="s">
        <v>1197</v>
      </c>
      <c r="H141" s="50" t="s">
        <v>1530</v>
      </c>
      <c r="I141" t="s">
        <v>469</v>
      </c>
      <c r="J141" s="50" t="str">
        <f>IFERROR(VLOOKUP(Table358[[#This Row],[R&amp;D Tags]],'Old List of R&amp;D Tags vs IDI'!H:H,1,FALSE), " ")</f>
        <v>2-033-Y051-X</v>
      </c>
    </row>
    <row r="142" spans="1:10" x14ac:dyDescent="0.25">
      <c r="A142" t="s">
        <v>689</v>
      </c>
      <c r="B142" s="27" t="s">
        <v>1197</v>
      </c>
      <c r="H142" s="50" t="s">
        <v>1528</v>
      </c>
      <c r="I142" t="s">
        <v>461</v>
      </c>
      <c r="J142" s="50" t="str">
        <f>IFERROR(VLOOKUP(Table358[[#This Row],[R&amp;D Tags]],'Old List of R&amp;D Tags vs IDI'!H:H,1,FALSE), " ")</f>
        <v>2-033-Y041-X</v>
      </c>
    </row>
    <row r="143" spans="1:10" x14ac:dyDescent="0.25">
      <c r="A143" t="s">
        <v>701</v>
      </c>
      <c r="B143" s="26" t="s">
        <v>1197</v>
      </c>
      <c r="H143" s="50" t="s">
        <v>1532</v>
      </c>
      <c r="I143" t="s">
        <v>264</v>
      </c>
      <c r="J143" s="50" t="str">
        <f>IFERROR(VLOOKUP(Table358[[#This Row],[R&amp;D Tags]],'Old List of R&amp;D Tags vs IDI'!H:H,1,FALSE), " ")</f>
        <v>2-033-UZ001-MD_SPEED-X</v>
      </c>
    </row>
    <row r="144" spans="1:10" x14ac:dyDescent="0.25">
      <c r="A144" t="s">
        <v>713</v>
      </c>
      <c r="B144" s="27" t="s">
        <v>1216</v>
      </c>
      <c r="H144" s="50" t="s">
        <v>1568</v>
      </c>
      <c r="I144" t="s">
        <v>613</v>
      </c>
      <c r="J144" s="50" t="str">
        <f>IFERROR(VLOOKUP(Table358[[#This Row],[R&amp;D Tags]],'Old List of R&amp;D Tags vs IDI'!H:H,1,FALSE), " ")</f>
        <v>2-033-TI200-X</v>
      </c>
    </row>
    <row r="145" spans="1:10" ht="15.75" x14ac:dyDescent="0.25">
      <c r="A145" t="s">
        <v>709</v>
      </c>
      <c r="B145" s="28" t="s">
        <v>172</v>
      </c>
      <c r="H145" s="50" t="s">
        <v>1563</v>
      </c>
      <c r="I145" t="s">
        <v>601</v>
      </c>
      <c r="J145" s="50" t="str">
        <f>IFERROR(VLOOKUP(Table358[[#This Row],[R&amp;D Tags]],'Old List of R&amp;D Tags vs IDI'!H:H,1,FALSE), " ")</f>
        <v>2-033-TI100-X</v>
      </c>
    </row>
    <row r="146" spans="1:10" ht="15.75" x14ac:dyDescent="0.25">
      <c r="A146" t="s">
        <v>278</v>
      </c>
      <c r="B146" s="28" t="s">
        <v>169</v>
      </c>
      <c r="H146" s="50" t="s">
        <v>1519</v>
      </c>
      <c r="I146" t="s">
        <v>405</v>
      </c>
      <c r="J146" s="50" t="str">
        <f>IFERROR(VLOOKUP(Table358[[#This Row],[R&amp;D Tags]],'Old List of R&amp;D Tags vs IDI'!H:H,1,FALSE), " ")</f>
        <v>2-033-PI250-X</v>
      </c>
    </row>
    <row r="147" spans="1:10" ht="15.75" x14ac:dyDescent="0.25">
      <c r="A147" t="s">
        <v>290</v>
      </c>
      <c r="B147" s="29" t="s">
        <v>166</v>
      </c>
      <c r="H147" s="50" t="s">
        <v>1515</v>
      </c>
      <c r="I147" t="s">
        <v>388</v>
      </c>
      <c r="J147" s="50" t="str">
        <f>IFERROR(VLOOKUP(Table358[[#This Row],[R&amp;D Tags]],'Old List of R&amp;D Tags vs IDI'!H:H,1,FALSE), " ")</f>
        <v>2-033-PI150-X</v>
      </c>
    </row>
    <row r="148" spans="1:10" ht="15.75" x14ac:dyDescent="0.25">
      <c r="A148" t="s">
        <v>302</v>
      </c>
      <c r="B148" s="29" t="s">
        <v>163</v>
      </c>
      <c r="H148" s="50" t="s">
        <v>1533</v>
      </c>
      <c r="I148" t="s">
        <v>477</v>
      </c>
      <c r="J148" s="50" t="str">
        <f>IFERROR(VLOOKUP(Table358[[#This Row],[R&amp;D Tags]],'Old List of R&amp;D Tags vs IDI'!H:H,1,FALSE), " ")</f>
        <v>2-033-PI055-X</v>
      </c>
    </row>
    <row r="149" spans="1:10" ht="15.75" x14ac:dyDescent="0.25">
      <c r="A149" t="s">
        <v>306</v>
      </c>
      <c r="B149" s="28" t="s">
        <v>131</v>
      </c>
      <c r="H149" s="50" t="s">
        <v>1529</v>
      </c>
      <c r="I149" t="s">
        <v>465</v>
      </c>
      <c r="J149" s="50" t="str">
        <f>IFERROR(VLOOKUP(Table358[[#This Row],[R&amp;D Tags]],'Old List of R&amp;D Tags vs IDI'!H:H,1,FALSE), " ")</f>
        <v>2-033-PI045-X</v>
      </c>
    </row>
    <row r="150" spans="1:10" x14ac:dyDescent="0.25">
      <c r="A150" t="s">
        <v>681</v>
      </c>
      <c r="B150" s="27" t="s">
        <v>131</v>
      </c>
      <c r="H150" s="50" t="s">
        <v>1570</v>
      </c>
      <c r="I150" t="s">
        <v>621</v>
      </c>
      <c r="J150" s="50" t="str">
        <f>IFERROR(VLOOKUP(Table358[[#This Row],[R&amp;D Tags]],'Old List of R&amp;D Tags vs IDI'!H:H,1,FALSE), " ")</f>
        <v>2-033-PD210-X</v>
      </c>
    </row>
    <row r="151" spans="1:10" ht="15.75" x14ac:dyDescent="0.25">
      <c r="A151" t="s">
        <v>697</v>
      </c>
      <c r="B151" s="28" t="s">
        <v>134</v>
      </c>
      <c r="H151" s="50" t="s">
        <v>1565</v>
      </c>
      <c r="I151" t="s">
        <v>609</v>
      </c>
      <c r="J151" s="50" t="str">
        <f>IFERROR(VLOOKUP(Table358[[#This Row],[R&amp;D Tags]],'Old List of R&amp;D Tags vs IDI'!H:H,1,FALSE), " ")</f>
        <v>2-033-PD110-X</v>
      </c>
    </row>
    <row r="152" spans="1:10" x14ac:dyDescent="0.25">
      <c r="A152" t="s">
        <v>693</v>
      </c>
      <c r="B152" s="27" t="s">
        <v>134</v>
      </c>
      <c r="H152" s="50" t="s">
        <v>1525</v>
      </c>
      <c r="I152" t="s">
        <v>447</v>
      </c>
      <c r="J152" s="50" t="str">
        <f>IFERROR(VLOOKUP(Table358[[#This Row],[R&amp;D Tags]],'Old List of R&amp;D Tags vs IDI'!H:H,1,FALSE), " ")</f>
        <v>2-033-M055-SEL</v>
      </c>
    </row>
    <row r="153" spans="1:10" x14ac:dyDescent="0.25">
      <c r="A153" t="s">
        <v>705</v>
      </c>
      <c r="B153" s="27" t="s">
        <v>1526</v>
      </c>
      <c r="H153" s="50" t="s">
        <v>1524</v>
      </c>
      <c r="I153" t="s">
        <v>445</v>
      </c>
      <c r="J153" s="50" t="str">
        <f>IFERROR(VLOOKUP(Table358[[#This Row],[R&amp;D Tags]],'Old List of R&amp;D Tags vs IDI'!H:H,1,FALSE), " ")</f>
        <v>2-033-M045-SEL</v>
      </c>
    </row>
    <row r="154" spans="1:10" x14ac:dyDescent="0.25">
      <c r="A154" t="s">
        <v>717</v>
      </c>
      <c r="B154" s="27" t="s">
        <v>1527</v>
      </c>
      <c r="H154" s="50" t="s">
        <v>1569</v>
      </c>
      <c r="I154" t="s">
        <v>617</v>
      </c>
      <c r="J154" s="50" t="str">
        <f>IFERROR(VLOOKUP(Table358[[#This Row],[R&amp;D Tags]],'Old List of R&amp;D Tags vs IDI'!H:H,1,FALSE), " ")</f>
        <v>2-033-LC200-X</v>
      </c>
    </row>
    <row r="155" spans="1:10" x14ac:dyDescent="0.25">
      <c r="A155" t="s">
        <v>729</v>
      </c>
      <c r="B155" s="26" t="s">
        <v>1527</v>
      </c>
      <c r="H155" s="50" t="s">
        <v>1564</v>
      </c>
      <c r="I155" t="s">
        <v>605</v>
      </c>
      <c r="J155" s="50" t="str">
        <f>IFERROR(VLOOKUP(Table358[[#This Row],[R&amp;D Tags]],'Old List of R&amp;D Tags vs IDI'!H:H,1,FALSE), " ")</f>
        <v>2-033-LC100-X</v>
      </c>
    </row>
    <row r="156" spans="1:10" ht="15.75" x14ac:dyDescent="0.25">
      <c r="A156" t="s">
        <v>741</v>
      </c>
      <c r="B156" s="28" t="s">
        <v>143</v>
      </c>
      <c r="H156" s="50" t="s">
        <v>1566</v>
      </c>
      <c r="I156" t="s">
        <v>417</v>
      </c>
      <c r="J156" s="50" t="str">
        <f>IFERROR(VLOOKUP(Table358[[#This Row],[R&amp;D Tags]],'Old List of R&amp;D Tags vs IDI'!H:H,1,FALSE), " ")</f>
        <v>2-033-FI200-X</v>
      </c>
    </row>
    <row r="157" spans="1:10" x14ac:dyDescent="0.25">
      <c r="A157" t="s">
        <v>757</v>
      </c>
      <c r="B157" s="26" t="s">
        <v>1079</v>
      </c>
      <c r="H157" s="50" t="s">
        <v>1561</v>
      </c>
      <c r="I157" t="s">
        <v>425</v>
      </c>
      <c r="J157" s="50" t="str">
        <f>IFERROR(VLOOKUP(Table358[[#This Row],[R&amp;D Tags]],'Old List of R&amp;D Tags vs IDI'!H:H,1,FALSE), " ")</f>
        <v>2-033-FI100-X</v>
      </c>
    </row>
    <row r="158" spans="1:10" x14ac:dyDescent="0.25">
      <c r="A158" t="s">
        <v>282</v>
      </c>
      <c r="B158" s="26" t="s">
        <v>1091</v>
      </c>
      <c r="H158" s="50" t="s">
        <v>1513</v>
      </c>
      <c r="I158" t="s">
        <v>150</v>
      </c>
      <c r="J158" s="50" t="str">
        <f>IFERROR(VLOOKUP(Table358[[#This Row],[R&amp;D Tags]],'Old List of R&amp;D Tags vs IDI'!H:H,1,FALSE), " ")</f>
        <v>2-033-FI100-G_M2</v>
      </c>
    </row>
    <row r="159" spans="1:10" x14ac:dyDescent="0.25">
      <c r="A159" t="s">
        <v>298</v>
      </c>
      <c r="B159" s="27" t="s">
        <v>1161</v>
      </c>
      <c r="H159" s="50" t="s">
        <v>1522</v>
      </c>
      <c r="I159" t="s">
        <v>437</v>
      </c>
      <c r="J159" s="50" t="str">
        <f>IFERROR(VLOOKUP(Table358[[#This Row],[R&amp;D Tags]],'Old List of R&amp;D Tags vs IDI'!H:H,1,FALSE), " ")</f>
        <v>2-033-FI100-D3</v>
      </c>
    </row>
    <row r="160" spans="1:10" ht="15.75" x14ac:dyDescent="0.25">
      <c r="A160" t="s">
        <v>294</v>
      </c>
      <c r="B160" s="28" t="s">
        <v>157</v>
      </c>
      <c r="H160" s="50" t="s">
        <v>1567</v>
      </c>
      <c r="I160" t="s">
        <v>413</v>
      </c>
      <c r="J160" s="50" t="str">
        <f>IFERROR(VLOOKUP(Table358[[#This Row],[R&amp;D Tags]],'Old List of R&amp;D Tags vs IDI'!H:H,1,FALSE), " ")</f>
        <v>2-033-FC200-X</v>
      </c>
    </row>
    <row r="161" spans="1:10" ht="15.75" x14ac:dyDescent="0.25">
      <c r="A161" t="s">
        <v>314</v>
      </c>
      <c r="B161" s="28" t="s">
        <v>160</v>
      </c>
      <c r="H161" s="50" t="s">
        <v>1562</v>
      </c>
      <c r="I161" t="s">
        <v>421</v>
      </c>
      <c r="J161" s="50" t="str">
        <f>IFERROR(VLOOKUP(Table358[[#This Row],[R&amp;D Tags]],'Old List of R&amp;D Tags vs IDI'!H:H,1,FALSE), " ")</f>
        <v>2-033-FC100-X</v>
      </c>
    </row>
    <row r="162" spans="1:10" x14ac:dyDescent="0.25">
      <c r="A162" t="s">
        <v>318</v>
      </c>
      <c r="B162" s="26" t="s">
        <v>1083</v>
      </c>
      <c r="H162" s="50" t="s">
        <v>1644</v>
      </c>
      <c r="I162" t="s">
        <v>916</v>
      </c>
      <c r="J162" s="50" t="str">
        <f>IFERROR(VLOOKUP(Table358[[#This Row],[R&amp;D Tags]],'Old List of R&amp;D Tags vs IDI'!H:H,1,FALSE), " ")</f>
        <v>2-028-P308_01-X</v>
      </c>
    </row>
    <row r="163" spans="1:10" x14ac:dyDescent="0.25">
      <c r="A163" t="s">
        <v>1411</v>
      </c>
      <c r="B163" s="27" t="s">
        <v>1099</v>
      </c>
      <c r="H163" s="50" t="s">
        <v>1652</v>
      </c>
      <c r="I163" t="s">
        <v>916</v>
      </c>
      <c r="J163" s="50" t="str">
        <f>IFERROR(VLOOKUP(Table358[[#This Row],[R&amp;D Tags]],'Old List of R&amp;D Tags vs IDI'!H:H,1,FALSE), " ")</f>
        <v>2-028-P308_01-X</v>
      </c>
    </row>
    <row r="164" spans="1:10" x14ac:dyDescent="0.25">
      <c r="A164" t="s">
        <v>1445</v>
      </c>
      <c r="B164" s="27" t="s">
        <v>1103</v>
      </c>
      <c r="H164" s="50" t="s">
        <v>1645</v>
      </c>
      <c r="I164" t="s">
        <v>918</v>
      </c>
      <c r="J164" s="50" t="str">
        <f>IFERROR(VLOOKUP(Table358[[#This Row],[R&amp;D Tags]],'Old List of R&amp;D Tags vs IDI'!H:H,1,FALSE), " ")</f>
        <v>2-028-P306_01-X</v>
      </c>
    </row>
    <row r="165" spans="1:10" x14ac:dyDescent="0.25">
      <c r="A165" t="s">
        <v>1423</v>
      </c>
      <c r="B165" s="27" t="s">
        <v>1111</v>
      </c>
      <c r="H165" s="50" t="s">
        <v>1642</v>
      </c>
      <c r="I165" t="s">
        <v>914</v>
      </c>
      <c r="J165" s="50" t="str">
        <f>IFERROR(VLOOKUP(Table358[[#This Row],[R&amp;D Tags]],'Old List of R&amp;D Tags vs IDI'!H:H,1,FALSE), " ")</f>
        <v>2-028-P305_01-X</v>
      </c>
    </row>
    <row r="166" spans="1:10" x14ac:dyDescent="0.25">
      <c r="A166" t="s">
        <v>1415</v>
      </c>
      <c r="B166" s="27" t="s">
        <v>1107</v>
      </c>
      <c r="H166" s="50" t="s">
        <v>1677</v>
      </c>
      <c r="I166" t="s">
        <v>1037</v>
      </c>
      <c r="J166" s="50" t="str">
        <f>IFERROR(VLOOKUP(Table358[[#This Row],[R&amp;D Tags]],'Old List of R&amp;D Tags vs IDI'!H:H,1,FALSE), " ")</f>
        <v>2-009-TI209_01-X</v>
      </c>
    </row>
    <row r="167" spans="1:10" x14ac:dyDescent="0.25">
      <c r="A167" t="s">
        <v>737</v>
      </c>
      <c r="B167" s="27" t="s">
        <v>1127</v>
      </c>
      <c r="H167" s="50" t="s">
        <v>1595</v>
      </c>
      <c r="I167" t="s">
        <v>737</v>
      </c>
      <c r="J167" s="50" t="str">
        <f>IFERROR(VLOOKUP(Table358[[#This Row],[R&amp;D Tags]],'Old List of R&amp;D Tags vs IDI'!H:H,1,FALSE), " ")</f>
        <v>2-009-TC201_01-X</v>
      </c>
    </row>
    <row r="168" spans="1:10" x14ac:dyDescent="0.25">
      <c r="A168" t="s">
        <v>1037</v>
      </c>
      <c r="B168" s="27" t="s">
        <v>1123</v>
      </c>
      <c r="H168" s="50" t="s">
        <v>1496</v>
      </c>
      <c r="I168" t="s">
        <v>318</v>
      </c>
      <c r="J168" s="50" t="str">
        <f>IFERROR(VLOOKUP(Table358[[#This Row],[R&amp;D Tags]],'Old List of R&amp;D Tags vs IDI'!H:H,1,FALSE), " ")</f>
        <v>2-009-PD205_01-X</v>
      </c>
    </row>
    <row r="169" spans="1:10" x14ac:dyDescent="0.25">
      <c r="A169" t="s">
        <v>958</v>
      </c>
      <c r="B169" s="27" t="s">
        <v>1528</v>
      </c>
      <c r="H169" s="50" t="s">
        <v>1495</v>
      </c>
      <c r="I169" t="s">
        <v>314</v>
      </c>
      <c r="J169" s="50" t="str">
        <f>IFERROR(VLOOKUP(Table358[[#This Row],[R&amp;D Tags]],'Old List of R&amp;D Tags vs IDI'!H:H,1,FALSE), " ")</f>
        <v>2-009-PD204_04-X</v>
      </c>
    </row>
    <row r="170" spans="1:10" x14ac:dyDescent="0.25">
      <c r="A170" t="s">
        <v>962</v>
      </c>
      <c r="B170" s="27" t="s">
        <v>1529</v>
      </c>
      <c r="H170" s="50" t="s">
        <v>1490</v>
      </c>
      <c r="I170" t="s">
        <v>294</v>
      </c>
      <c r="J170" s="50" t="str">
        <f>IFERROR(VLOOKUP(Table358[[#This Row],[R&amp;D Tags]],'Old List of R&amp;D Tags vs IDI'!H:H,1,FALSE), " ")</f>
        <v>2-009-PD204_03-X</v>
      </c>
    </row>
    <row r="171" spans="1:10" x14ac:dyDescent="0.25">
      <c r="A171" t="s">
        <v>914</v>
      </c>
      <c r="B171" s="27" t="s">
        <v>1530</v>
      </c>
      <c r="H171" s="50" t="s">
        <v>1491</v>
      </c>
      <c r="I171" t="s">
        <v>298</v>
      </c>
      <c r="J171" s="50" t="str">
        <f>IFERROR(VLOOKUP(Table358[[#This Row],[R&amp;D Tags]],'Old List of R&amp;D Tags vs IDI'!H:H,1,FALSE), " ")</f>
        <v>2-009-PD204_02-X</v>
      </c>
    </row>
    <row r="172" spans="1:10" x14ac:dyDescent="0.25">
      <c r="A172" t="s">
        <v>918</v>
      </c>
      <c r="B172" s="27" t="s">
        <v>1531</v>
      </c>
      <c r="H172" s="50" t="s">
        <v>1487</v>
      </c>
      <c r="I172" t="s">
        <v>282</v>
      </c>
      <c r="J172" s="50" t="str">
        <f>IFERROR(VLOOKUP(Table358[[#This Row],[R&amp;D Tags]],'Old List of R&amp;D Tags vs IDI'!H:H,1,FALSE), " ")</f>
        <v>2-009-PD204_01-X</v>
      </c>
    </row>
    <row r="173" spans="1:10" x14ac:dyDescent="0.25">
      <c r="A173" t="s">
        <v>916</v>
      </c>
      <c r="B173" s="27" t="s">
        <v>1532</v>
      </c>
      <c r="H173" s="50" t="s">
        <v>1600</v>
      </c>
      <c r="I173" t="s">
        <v>757</v>
      </c>
      <c r="J173" s="50" t="str">
        <f>IFERROR(VLOOKUP(Table358[[#This Row],[R&amp;D Tags]],'Old List of R&amp;D Tags vs IDI'!H:H,1,FALSE), " ")</f>
        <v>2-009-PD203_01-X</v>
      </c>
    </row>
    <row r="174" spans="1:10" x14ac:dyDescent="0.25">
      <c r="A174" t="s">
        <v>421</v>
      </c>
      <c r="B174" s="27" t="s">
        <v>1533</v>
      </c>
      <c r="H174" s="50" t="s">
        <v>1596</v>
      </c>
      <c r="I174" t="s">
        <v>741</v>
      </c>
      <c r="J174" s="50" t="str">
        <f>IFERROR(VLOOKUP(Table358[[#This Row],[R&amp;D Tags]],'Old List of R&amp;D Tags vs IDI'!H:H,1,FALSE), " ")</f>
        <v>2-009-PD202_02-X</v>
      </c>
    </row>
    <row r="175" spans="1:10" x14ac:dyDescent="0.25">
      <c r="A175" t="s">
        <v>413</v>
      </c>
      <c r="B175" s="27" t="s">
        <v>1534</v>
      </c>
      <c r="H175" s="50" t="s">
        <v>1593</v>
      </c>
      <c r="I175" t="s">
        <v>729</v>
      </c>
      <c r="J175" s="50" t="str">
        <f>IFERROR(VLOOKUP(Table358[[#This Row],[R&amp;D Tags]],'Old List of R&amp;D Tags vs IDI'!H:H,1,FALSE), " ")</f>
        <v>2-009-PD202_01-X</v>
      </c>
    </row>
    <row r="176" spans="1:10" x14ac:dyDescent="0.25">
      <c r="A176" t="s">
        <v>433</v>
      </c>
      <c r="B176" s="27" t="s">
        <v>1535</v>
      </c>
      <c r="H176" s="50" t="s">
        <v>1590</v>
      </c>
      <c r="I176" t="s">
        <v>717</v>
      </c>
      <c r="J176" s="50" t="str">
        <f>IFERROR(VLOOKUP(Table358[[#This Row],[R&amp;D Tags]],'Old List of R&amp;D Tags vs IDI'!H:H,1,FALSE), " ")</f>
        <v>2-009-PD201_05-X</v>
      </c>
    </row>
    <row r="177" spans="1:10" x14ac:dyDescent="0.25">
      <c r="A177" t="s">
        <v>429</v>
      </c>
      <c r="B177" s="27" t="s">
        <v>34</v>
      </c>
      <c r="H177" s="50" t="s">
        <v>1587</v>
      </c>
      <c r="I177" t="s">
        <v>705</v>
      </c>
      <c r="J177" s="50" t="str">
        <f>IFERROR(VLOOKUP(Table358[[#This Row],[R&amp;D Tags]],'Old List of R&amp;D Tags vs IDI'!H:H,1,FALSE), " ")</f>
        <v>2-009-PD201_04-X</v>
      </c>
    </row>
    <row r="178" spans="1:10" x14ac:dyDescent="0.25">
      <c r="A178" t="s">
        <v>437</v>
      </c>
      <c r="B178" s="27" t="s">
        <v>1189</v>
      </c>
      <c r="H178" s="50" t="s">
        <v>1583</v>
      </c>
      <c r="I178" t="s">
        <v>693</v>
      </c>
      <c r="J178" s="50" t="str">
        <f>IFERROR(VLOOKUP(Table358[[#This Row],[R&amp;D Tags]],'Old List of R&amp;D Tags vs IDI'!H:H,1,FALSE), " ")</f>
        <v>2-009-PD201_03-X</v>
      </c>
    </row>
    <row r="179" spans="1:10" x14ac:dyDescent="0.25">
      <c r="A179" t="s">
        <v>150</v>
      </c>
      <c r="B179" s="27" t="s">
        <v>1153</v>
      </c>
      <c r="H179" s="50" t="s">
        <v>1580</v>
      </c>
      <c r="I179" t="s">
        <v>681</v>
      </c>
      <c r="J179" s="50" t="str">
        <f>IFERROR(VLOOKUP(Table358[[#This Row],[R&amp;D Tags]],'Old List of R&amp;D Tags vs IDI'!H:H,1,FALSE), " ")</f>
        <v>2-009-PD201_01-X</v>
      </c>
    </row>
    <row r="180" spans="1:10" x14ac:dyDescent="0.25">
      <c r="A180" t="s">
        <v>425</v>
      </c>
      <c r="B180" s="27" t="s">
        <v>1143</v>
      </c>
      <c r="H180" s="50" t="s">
        <v>1493</v>
      </c>
      <c r="I180" t="s">
        <v>306</v>
      </c>
      <c r="J180" s="50" t="str">
        <f>IFERROR(VLOOKUP(Table358[[#This Row],[R&amp;D Tags]],'Old List of R&amp;D Tags vs IDI'!H:H,1,FALSE), " ")</f>
        <v>2-009-PC204_04-X</v>
      </c>
    </row>
    <row r="181" spans="1:10" x14ac:dyDescent="0.25">
      <c r="A181" t="s">
        <v>146</v>
      </c>
      <c r="B181" s="27" t="s">
        <v>1135</v>
      </c>
      <c r="H181" s="50" t="s">
        <v>1492</v>
      </c>
      <c r="I181" t="s">
        <v>302</v>
      </c>
      <c r="J181" s="50" t="str">
        <f>IFERROR(VLOOKUP(Table358[[#This Row],[R&amp;D Tags]],'Old List of R&amp;D Tags vs IDI'!H:H,1,FALSE), " ")</f>
        <v>2-009-PC204_03-X</v>
      </c>
    </row>
    <row r="182" spans="1:10" x14ac:dyDescent="0.25">
      <c r="A182" t="s">
        <v>417</v>
      </c>
      <c r="B182" s="27" t="s">
        <v>1131</v>
      </c>
      <c r="H182" s="50" t="s">
        <v>1489</v>
      </c>
      <c r="I182" t="s">
        <v>290</v>
      </c>
      <c r="J182" s="50" t="str">
        <f>IFERROR(VLOOKUP(Table358[[#This Row],[R&amp;D Tags]],'Old List of R&amp;D Tags vs IDI'!H:H,1,FALSE), " ")</f>
        <v>2-009-PC204_02-X</v>
      </c>
    </row>
    <row r="183" spans="1:10" x14ac:dyDescent="0.25">
      <c r="A183" t="s">
        <v>605</v>
      </c>
      <c r="B183" s="26" t="s">
        <v>1087</v>
      </c>
      <c r="H183" s="50" t="s">
        <v>1486</v>
      </c>
      <c r="I183" t="s">
        <v>278</v>
      </c>
      <c r="J183" s="50" t="str">
        <f>IFERROR(VLOOKUP(Table358[[#This Row],[R&amp;D Tags]],'Old List of R&amp;D Tags vs IDI'!H:H,1,FALSE), " ")</f>
        <v>2-009-PC204_01-X</v>
      </c>
    </row>
    <row r="184" spans="1:10" x14ac:dyDescent="0.25">
      <c r="A184" t="s">
        <v>617</v>
      </c>
      <c r="B184" s="27" t="s">
        <v>1536</v>
      </c>
      <c r="H184" s="50" t="s">
        <v>1588</v>
      </c>
      <c r="I184" t="s">
        <v>709</v>
      </c>
      <c r="J184" s="50" t="str">
        <f>IFERROR(VLOOKUP(Table358[[#This Row],[R&amp;D Tags]],'Old List of R&amp;D Tags vs IDI'!H:H,1,FALSE), " ")</f>
        <v>2-009-PC201_05-X</v>
      </c>
    </row>
    <row r="185" spans="1:10" x14ac:dyDescent="0.25">
      <c r="A185" t="s">
        <v>445</v>
      </c>
      <c r="B185" s="27" t="s">
        <v>1537</v>
      </c>
      <c r="H185" s="50" t="s">
        <v>1589</v>
      </c>
      <c r="I185" t="s">
        <v>713</v>
      </c>
      <c r="J185" s="50" t="str">
        <f>IFERROR(VLOOKUP(Table358[[#This Row],[R&amp;D Tags]],'Old List of R&amp;D Tags vs IDI'!H:H,1,FALSE), " ")</f>
        <v>2-009-PC201_04-X</v>
      </c>
    </row>
    <row r="186" spans="1:10" x14ac:dyDescent="0.25">
      <c r="A186" t="s">
        <v>447</v>
      </c>
      <c r="B186" s="27" t="s">
        <v>1095</v>
      </c>
      <c r="H186" s="50" t="s">
        <v>1585</v>
      </c>
      <c r="I186" t="s">
        <v>701</v>
      </c>
      <c r="J186" s="50" t="str">
        <f>IFERROR(VLOOKUP(Table358[[#This Row],[R&amp;D Tags]],'Old List of R&amp;D Tags vs IDI'!H:H,1,FALSE), " ")</f>
        <v>2-009-PC201_03-X</v>
      </c>
    </row>
    <row r="187" spans="1:10" x14ac:dyDescent="0.25">
      <c r="A187" t="s">
        <v>609</v>
      </c>
      <c r="B187" s="26" t="s">
        <v>1055</v>
      </c>
      <c r="H187" s="50" t="s">
        <v>1582</v>
      </c>
      <c r="I187" t="s">
        <v>689</v>
      </c>
      <c r="J187" s="50" t="str">
        <f>IFERROR(VLOOKUP(Table358[[#This Row],[R&amp;D Tags]],'Old List of R&amp;D Tags vs IDI'!H:H,1,FALSE), " ")</f>
        <v>2-009-PC201_02-X</v>
      </c>
    </row>
    <row r="188" spans="1:10" x14ac:dyDescent="0.25">
      <c r="A188" t="s">
        <v>621</v>
      </c>
      <c r="B188" s="26" t="s">
        <v>1063</v>
      </c>
      <c r="H188" s="50" t="s">
        <v>1581</v>
      </c>
      <c r="I188" t="s">
        <v>685</v>
      </c>
      <c r="J188" s="50" t="str">
        <f>IFERROR(VLOOKUP(Table358[[#This Row],[R&amp;D Tags]],'Old List of R&amp;D Tags vs IDI'!H:H,1,FALSE), " ")</f>
        <v>2-009-PC201_01-X</v>
      </c>
    </row>
    <row r="189" spans="1:10" x14ac:dyDescent="0.25">
      <c r="A189" t="s">
        <v>465</v>
      </c>
      <c r="B189" s="26" t="s">
        <v>1071</v>
      </c>
      <c r="H189" s="50" t="s">
        <v>1497</v>
      </c>
      <c r="I189" t="s">
        <v>322</v>
      </c>
      <c r="J189" s="50" t="str">
        <f>IFERROR(VLOOKUP(Table358[[#This Row],[R&amp;D Tags]],'Old List of R&amp;D Tags vs IDI'!H:H,1,FALSE), " ")</f>
        <v>2-009-PC200_05-X</v>
      </c>
    </row>
    <row r="190" spans="1:10" x14ac:dyDescent="0.25">
      <c r="A190" t="s">
        <v>477</v>
      </c>
      <c r="B190" s="27" t="s">
        <v>1119</v>
      </c>
      <c r="H190" s="50" t="s">
        <v>1494</v>
      </c>
      <c r="I190" t="s">
        <v>310</v>
      </c>
      <c r="J190" s="50" t="str">
        <f>IFERROR(VLOOKUP(Table358[[#This Row],[R&amp;D Tags]],'Old List of R&amp;D Tags vs IDI'!H:H,1,FALSE), " ")</f>
        <v>2-009-PC200_04-X</v>
      </c>
    </row>
    <row r="191" spans="1:10" x14ac:dyDescent="0.25">
      <c r="A191" t="s">
        <v>388</v>
      </c>
      <c r="B191" s="27" t="s">
        <v>1181</v>
      </c>
      <c r="H191" s="50" t="s">
        <v>1598</v>
      </c>
      <c r="I191" t="s">
        <v>749</v>
      </c>
      <c r="J191" s="50" t="str">
        <f>IFERROR(VLOOKUP(Table358[[#This Row],[R&amp;D Tags]],'Old List of R&amp;D Tags vs IDI'!H:H,1,FALSE), " ")</f>
        <v>2-009-PC200_03_3-X</v>
      </c>
    </row>
    <row r="192" spans="1:10" x14ac:dyDescent="0.25">
      <c r="A192" t="s">
        <v>405</v>
      </c>
      <c r="B192" s="27" t="s">
        <v>1139</v>
      </c>
      <c r="H192" s="50" t="s">
        <v>1597</v>
      </c>
      <c r="I192" t="s">
        <v>745</v>
      </c>
      <c r="J192" s="50" t="str">
        <f>IFERROR(VLOOKUP(Table358[[#This Row],[R&amp;D Tags]],'Old List of R&amp;D Tags vs IDI'!H:H,1,FALSE), " ")</f>
        <v>2-009-PC200_03_2-X</v>
      </c>
    </row>
    <row r="193" spans="1:10" x14ac:dyDescent="0.25">
      <c r="A193" t="s">
        <v>601</v>
      </c>
      <c r="B193" s="27" t="s">
        <v>1169</v>
      </c>
      <c r="H193" s="50" t="s">
        <v>1594</v>
      </c>
      <c r="I193" t="s">
        <v>733</v>
      </c>
      <c r="J193" s="50" t="str">
        <f>IFERROR(VLOOKUP(Table358[[#This Row],[R&amp;D Tags]],'Old List of R&amp;D Tags vs IDI'!H:H,1,FALSE), " ")</f>
        <v>2-009-PC200_02-X</v>
      </c>
    </row>
    <row r="194" spans="1:10" x14ac:dyDescent="0.25">
      <c r="A194" t="s">
        <v>613</v>
      </c>
      <c r="B194" s="26" t="s">
        <v>1075</v>
      </c>
      <c r="H194" s="50" t="s">
        <v>1591</v>
      </c>
      <c r="I194" t="s">
        <v>721</v>
      </c>
      <c r="J194" s="50" t="str">
        <f>IFERROR(VLOOKUP(Table358[[#This Row],[R&amp;D Tags]],'Old List of R&amp;D Tags vs IDI'!H:H,1,FALSE), " ")</f>
        <v>2-009-PC200_01-X</v>
      </c>
    </row>
    <row r="195" spans="1:10" x14ac:dyDescent="0.25">
      <c r="A195" t="s">
        <v>264</v>
      </c>
      <c r="B195" s="26" t="s">
        <v>1059</v>
      </c>
      <c r="H195" s="50" t="s">
        <v>1592</v>
      </c>
      <c r="I195" t="s">
        <v>725</v>
      </c>
      <c r="J195" s="50" t="str">
        <f>IFERROR(VLOOKUP(Table358[[#This Row],[R&amp;D Tags]],'Old List of R&amp;D Tags vs IDI'!H:H,1,FALSE), " ")</f>
        <v>2-009-PC200_01-PCV2-W</v>
      </c>
    </row>
    <row r="196" spans="1:10" x14ac:dyDescent="0.25">
      <c r="A196" t="s">
        <v>461</v>
      </c>
      <c r="B196" s="26" t="s">
        <v>1067</v>
      </c>
      <c r="H196" s="50" t="s">
        <v>172</v>
      </c>
      <c r="I196" t="s">
        <v>1407</v>
      </c>
      <c r="J196" s="50" t="str">
        <f>IFERROR(VLOOKUP(Table358[[#This Row],[R&amp;D Tags]],'Old List of R&amp;D Tags vs IDI'!H:H,1,FALSE), " ")</f>
        <v>2-009-FI200_01_1-X</v>
      </c>
    </row>
    <row r="197" spans="1:10" x14ac:dyDescent="0.25">
      <c r="A197" t="s">
        <v>469</v>
      </c>
      <c r="B197" s="27" t="s">
        <v>1115</v>
      </c>
      <c r="H197" s="50" t="s">
        <v>1464</v>
      </c>
      <c r="I197" t="s">
        <v>42</v>
      </c>
      <c r="J197" s="50" t="str">
        <f>IFERROR(VLOOKUP(Table358[[#This Row],[R&amp;D Tags]],'Old List of R&amp;D Tags vs IDI'!H:H,1,FALSE), " ")</f>
        <v>2-008-VPOPE-AR0</v>
      </c>
    </row>
    <row r="198" spans="1:10" x14ac:dyDescent="0.25">
      <c r="A198" t="s">
        <v>384</v>
      </c>
      <c r="B198" s="27" t="s">
        <v>657</v>
      </c>
      <c r="H198" s="50" t="s">
        <v>1201</v>
      </c>
      <c r="I198" t="s">
        <v>1177</v>
      </c>
      <c r="J198" s="50" t="str">
        <f>IFERROR(VLOOKUP(Table358[[#This Row],[R&amp;D Tags]],'Old List of R&amp;D Tags vs IDI'!H:H,1,FALSE), " ")</f>
        <v>2-008-TI041_25_1-X</v>
      </c>
    </row>
    <row r="199" spans="1:10" x14ac:dyDescent="0.25">
      <c r="A199" t="s">
        <v>380</v>
      </c>
      <c r="B199" s="27" t="s">
        <v>1033</v>
      </c>
      <c r="H199" s="50" t="s">
        <v>1201</v>
      </c>
      <c r="I199" t="s">
        <v>1185</v>
      </c>
      <c r="J199" s="50" t="str">
        <f>IFERROR(VLOOKUP(Table358[[#This Row],[R&amp;D Tags]],'Old List of R&amp;D Tags vs IDI'!H:H,1,FALSE), " ")</f>
        <v>2-008-TI041_05_1-X</v>
      </c>
    </row>
    <row r="200" spans="1:10" x14ac:dyDescent="0.25">
      <c r="A200" t="s">
        <v>457</v>
      </c>
      <c r="B200" s="27" t="s">
        <v>1033</v>
      </c>
      <c r="H200" s="50" t="s">
        <v>1680</v>
      </c>
      <c r="I200" t="s">
        <v>1051</v>
      </c>
      <c r="J200" s="50" t="str">
        <f>IFERROR(VLOOKUP(Table358[[#This Row],[R&amp;D Tags]],'Old List of R&amp;D Tags vs IDI'!H:H,1,FALSE), " ")</f>
        <v>2-008-QI049_02-X</v>
      </c>
    </row>
    <row r="201" spans="1:10" x14ac:dyDescent="0.25">
      <c r="A201" t="s">
        <v>473</v>
      </c>
      <c r="B201" s="27" t="s">
        <v>1538</v>
      </c>
      <c r="H201" s="50" t="s">
        <v>1678</v>
      </c>
      <c r="I201" t="s">
        <v>1042</v>
      </c>
      <c r="J201" s="50" t="str">
        <f>IFERROR(VLOOKUP(Table358[[#This Row],[R&amp;D Tags]],'Old List of R&amp;D Tags vs IDI'!H:H,1,FALSE), " ")</f>
        <v>2-008-QI046_02-X</v>
      </c>
    </row>
    <row r="202" spans="1:10" x14ac:dyDescent="0.25">
      <c r="A202" t="s">
        <v>777</v>
      </c>
      <c r="B202" s="27" t="s">
        <v>1244</v>
      </c>
      <c r="H202" s="50" t="s">
        <v>1375</v>
      </c>
      <c r="I202" t="s">
        <v>1220</v>
      </c>
      <c r="J202" s="50" t="str">
        <f>IFERROR(VLOOKUP(Table358[[#This Row],[R&amp;D Tags]],'Old List of R&amp;D Tags vs IDI'!H:H,1,FALSE), " ")</f>
        <v>2-008-QI042_01-X</v>
      </c>
    </row>
    <row r="203" spans="1:10" x14ac:dyDescent="0.25">
      <c r="A203" t="s">
        <v>789</v>
      </c>
      <c r="B203" s="27" t="s">
        <v>1233</v>
      </c>
      <c r="H203" s="50" t="s">
        <v>1275</v>
      </c>
      <c r="I203" t="s">
        <v>1213</v>
      </c>
      <c r="J203" s="50" t="str">
        <f>IFERROR(VLOOKUP(Table358[[#This Row],[R&amp;D Tags]],'Old List of R&amp;D Tags vs IDI'!H:H,1,FALSE), " ")</f>
        <v>2-008-QI041_30_04-X</v>
      </c>
    </row>
    <row r="204" spans="1:10" x14ac:dyDescent="0.25">
      <c r="A204" t="s">
        <v>340</v>
      </c>
      <c r="B204" s="27" t="s">
        <v>1248</v>
      </c>
      <c r="H204" s="50" t="s">
        <v>1315</v>
      </c>
      <c r="I204" t="s">
        <v>1540</v>
      </c>
      <c r="J204" s="50" t="str">
        <f>IFERROR(VLOOKUP(Table358[[#This Row],[R&amp;D Tags]],'Old List of R&amp;D Tags vs IDI'!H:H,1,FALSE), " ")</f>
        <v>2-008-QI041_25_02-X</v>
      </c>
    </row>
    <row r="205" spans="1:10" x14ac:dyDescent="0.25">
      <c r="A205" t="s">
        <v>769</v>
      </c>
      <c r="B205" s="27" t="s">
        <v>1252</v>
      </c>
      <c r="H205" s="50" t="s">
        <v>1327</v>
      </c>
      <c r="I205" t="s">
        <v>1229</v>
      </c>
      <c r="J205" s="50" t="str">
        <f>IFERROR(VLOOKUP(Table358[[#This Row],[R&amp;D Tags]],'Old List of R&amp;D Tags vs IDI'!H:H,1,FALSE), " ")</f>
        <v>2-008-QI041_25_01-X</v>
      </c>
    </row>
    <row r="206" spans="1:10" x14ac:dyDescent="0.25">
      <c r="A206" t="s">
        <v>350</v>
      </c>
      <c r="B206" s="27" t="s">
        <v>1539</v>
      </c>
      <c r="H206" s="50" t="s">
        <v>1704</v>
      </c>
      <c r="I206" t="s">
        <v>1539</v>
      </c>
      <c r="J206" s="50" t="str">
        <f>IFERROR(VLOOKUP(Table358[[#This Row],[R&amp;D Tags]],'Old List of R&amp;D Tags vs IDI'!H:H,1,FALSE), " ")</f>
        <v>2-008-QI041_11-X</v>
      </c>
    </row>
    <row r="207" spans="1:10" x14ac:dyDescent="0.25">
      <c r="A207" t="s">
        <v>453</v>
      </c>
      <c r="B207" s="27" t="s">
        <v>1229</v>
      </c>
      <c r="H207" s="50" t="s">
        <v>1371</v>
      </c>
      <c r="I207" t="s">
        <v>1252</v>
      </c>
      <c r="J207" s="50" t="str">
        <f>IFERROR(VLOOKUP(Table358[[#This Row],[R&amp;D Tags]],'Old List of R&amp;D Tags vs IDI'!H:H,1,FALSE), " ")</f>
        <v>2-008-QI041_10_2-X</v>
      </c>
    </row>
    <row r="208" spans="1:10" x14ac:dyDescent="0.25">
      <c r="A208" t="s">
        <v>781</v>
      </c>
      <c r="B208" s="27" t="s">
        <v>1540</v>
      </c>
      <c r="H208" s="50" t="s">
        <v>1339</v>
      </c>
      <c r="I208" t="s">
        <v>1248</v>
      </c>
      <c r="J208" s="50" t="str">
        <f>IFERROR(VLOOKUP(Table358[[#This Row],[R&amp;D Tags]],'Old List of R&amp;D Tags vs IDI'!H:H,1,FALSE), " ")</f>
        <v>2-008-QI041_05_02-X</v>
      </c>
    </row>
    <row r="209" spans="1:10" x14ac:dyDescent="0.25">
      <c r="A209" t="s">
        <v>793</v>
      </c>
      <c r="B209" s="27" t="s">
        <v>1541</v>
      </c>
      <c r="H209" s="50" t="s">
        <v>1323</v>
      </c>
      <c r="I209" t="s">
        <v>1233</v>
      </c>
      <c r="J209" s="50" t="str">
        <f>IFERROR(VLOOKUP(Table358[[#This Row],[R&amp;D Tags]],'Old List of R&amp;D Tags vs IDI'!H:H,1,FALSE), " ")</f>
        <v>2-008-QI041.25.01-X</v>
      </c>
    </row>
    <row r="210" spans="1:10" x14ac:dyDescent="0.25">
      <c r="A210" t="s">
        <v>809</v>
      </c>
      <c r="B210" s="27" t="s">
        <v>1542</v>
      </c>
      <c r="H210" s="50" t="s">
        <v>1335</v>
      </c>
      <c r="I210" t="s">
        <v>1244</v>
      </c>
      <c r="J210" s="50" t="str">
        <f>IFERROR(VLOOKUP(Table358[[#This Row],[R&amp;D Tags]],'Old List of R&amp;D Tags vs IDI'!H:H,1,FALSE), " ")</f>
        <v>2-008-QI041.05.02-X</v>
      </c>
    </row>
    <row r="211" spans="1:10" x14ac:dyDescent="0.25">
      <c r="A211" t="s">
        <v>273</v>
      </c>
      <c r="B211" s="27" t="s">
        <v>1213</v>
      </c>
      <c r="H211" s="50" t="s">
        <v>1676</v>
      </c>
      <c r="I211" t="s">
        <v>1033</v>
      </c>
      <c r="J211" s="50" t="str">
        <f>IFERROR(VLOOKUP(Table358[[#This Row],[R&amp;D Tags]],'Old List of R&amp;D Tags vs IDI'!H:H,1,FALSE), " ")</f>
        <v>2-008-QC041_30_2-X</v>
      </c>
    </row>
    <row r="212" spans="1:10" x14ac:dyDescent="0.25">
      <c r="A212" t="s">
        <v>286</v>
      </c>
      <c r="B212" s="27" t="s">
        <v>1220</v>
      </c>
      <c r="H212" s="50" t="s">
        <v>1579</v>
      </c>
      <c r="I212" t="s">
        <v>657</v>
      </c>
      <c r="J212" s="50" t="str">
        <f>IFERROR(VLOOKUP(Table358[[#This Row],[R&amp;D Tags]],'Old List of R&amp;D Tags vs IDI'!H:H,1,FALSE), " ")</f>
        <v>2-008-PI807_01-X</v>
      </c>
    </row>
    <row r="213" spans="1:10" x14ac:dyDescent="0.25">
      <c r="A213" t="s">
        <v>449</v>
      </c>
      <c r="B213" s="27" t="s">
        <v>1543</v>
      </c>
      <c r="H213" s="50" t="s">
        <v>1682</v>
      </c>
      <c r="I213" t="s">
        <v>657</v>
      </c>
      <c r="J213" s="50" t="str">
        <f>IFERROR(VLOOKUP(Table358[[#This Row],[R&amp;D Tags]],'Old List of R&amp;D Tags vs IDI'!H:H,1,FALSE), " ")</f>
        <v>2-008-PI807_01-X</v>
      </c>
    </row>
    <row r="214" spans="1:10" x14ac:dyDescent="0.25">
      <c r="A214" t="s">
        <v>785</v>
      </c>
      <c r="B214" s="27" t="s">
        <v>1042</v>
      </c>
      <c r="H214" s="50" t="s">
        <v>1697</v>
      </c>
      <c r="I214" t="s">
        <v>1115</v>
      </c>
      <c r="J214" s="50" t="str">
        <f>IFERROR(VLOOKUP(Table358[[#This Row],[R&amp;D Tags]],'Old List of R&amp;D Tags vs IDI'!H:H,1,FALSE), " ")</f>
        <v>2-008-PI087_21-X</v>
      </c>
    </row>
    <row r="215" spans="1:10" x14ac:dyDescent="0.25">
      <c r="A215" t="s">
        <v>801</v>
      </c>
      <c r="B215" s="27" t="s">
        <v>1544</v>
      </c>
      <c r="H215" s="50" t="s">
        <v>1686</v>
      </c>
      <c r="I215" t="s">
        <v>1067</v>
      </c>
      <c r="J215" s="50" t="str">
        <f>IFERROR(VLOOKUP(Table358[[#This Row],[R&amp;D Tags]],'Old List of R&amp;D Tags vs IDI'!H:H,1,FALSE), " ")</f>
        <v>2-008-PI087_11-X</v>
      </c>
    </row>
    <row r="216" spans="1:10" x14ac:dyDescent="0.25">
      <c r="A216" t="s">
        <v>345</v>
      </c>
      <c r="B216" s="27" t="s">
        <v>1051</v>
      </c>
      <c r="H216" s="50" t="s">
        <v>1684</v>
      </c>
      <c r="I216" t="s">
        <v>1059</v>
      </c>
      <c r="J216" s="50" t="str">
        <f>IFERROR(VLOOKUP(Table358[[#This Row],[R&amp;D Tags]],'Old List of R&amp;D Tags vs IDI'!H:H,1,FALSE), " ")</f>
        <v>2-008-PI087_02-X</v>
      </c>
    </row>
    <row r="217" spans="1:10" x14ac:dyDescent="0.25">
      <c r="A217" t="s">
        <v>103</v>
      </c>
      <c r="B217" s="27" t="s">
        <v>1545</v>
      </c>
      <c r="H217" s="50" t="s">
        <v>1688</v>
      </c>
      <c r="I217" t="s">
        <v>1075</v>
      </c>
      <c r="J217" s="50" t="str">
        <f>IFERROR(VLOOKUP(Table358[[#This Row],[R&amp;D Tags]],'Old List of R&amp;D Tags vs IDI'!H:H,1,FALSE), " ")</f>
        <v>2-008-PI087_01-X</v>
      </c>
    </row>
    <row r="218" spans="1:10" x14ac:dyDescent="0.25">
      <c r="A218" t="s">
        <v>107</v>
      </c>
      <c r="B218" s="27" t="s">
        <v>1546</v>
      </c>
      <c r="H218" s="50" t="s">
        <v>1331</v>
      </c>
      <c r="I218" t="s">
        <v>1169</v>
      </c>
      <c r="J218" s="50" t="str">
        <f>IFERROR(VLOOKUP(Table358[[#This Row],[R&amp;D Tags]],'Old List of R&amp;D Tags vs IDI'!H:H,1,FALSE), " ")</f>
        <v>2-008-PI041_25_1-X</v>
      </c>
    </row>
    <row r="219" spans="1:10" x14ac:dyDescent="0.25">
      <c r="A219" t="s">
        <v>111</v>
      </c>
      <c r="B219" s="27" t="s">
        <v>1185</v>
      </c>
      <c r="H219" s="50" t="s">
        <v>1703</v>
      </c>
      <c r="I219" t="s">
        <v>1139</v>
      </c>
      <c r="J219" s="50" t="str">
        <f>IFERROR(VLOOKUP(Table358[[#This Row],[R&amp;D Tags]],'Old List of R&amp;D Tags vs IDI'!H:H,1,FALSE), " ")</f>
        <v>2-008-PI041_12-X</v>
      </c>
    </row>
    <row r="220" spans="1:10" x14ac:dyDescent="0.25">
      <c r="A220" t="s">
        <v>116</v>
      </c>
      <c r="B220" s="27" t="s">
        <v>1177</v>
      </c>
      <c r="H220" s="50" t="s">
        <v>1201</v>
      </c>
      <c r="I220" t="s">
        <v>1181</v>
      </c>
      <c r="J220" s="50" t="str">
        <f>IFERROR(VLOOKUP(Table358[[#This Row],[R&amp;D Tags]],'Old List of R&amp;D Tags vs IDI'!H:H,1,FALSE), " ")</f>
        <v>2-008-PI041_05_1-X</v>
      </c>
    </row>
    <row r="221" spans="1:10" x14ac:dyDescent="0.25">
      <c r="A221" t="s">
        <v>118</v>
      </c>
      <c r="B221" s="27" t="s">
        <v>42</v>
      </c>
      <c r="H221" s="50" t="s">
        <v>1698</v>
      </c>
      <c r="I221" t="s">
        <v>1119</v>
      </c>
      <c r="J221" s="50" t="str">
        <f>IFERROR(VLOOKUP(Table358[[#This Row],[R&amp;D Tags]],'Old List of R&amp;D Tags vs IDI'!H:H,1,FALSE), " ")</f>
        <v>2-008-PD087_21-X</v>
      </c>
    </row>
    <row r="222" spans="1:10" x14ac:dyDescent="0.25">
      <c r="A222" t="s">
        <v>93</v>
      </c>
      <c r="B222" s="27" t="s">
        <v>1407</v>
      </c>
      <c r="H222" s="50" t="s">
        <v>1687</v>
      </c>
      <c r="I222" t="s">
        <v>1071</v>
      </c>
      <c r="J222" s="50" t="str">
        <f>IFERROR(VLOOKUP(Table358[[#This Row],[R&amp;D Tags]],'Old List of R&amp;D Tags vs IDI'!H:H,1,FALSE), " ")</f>
        <v>2-008-PD087_11-X</v>
      </c>
    </row>
    <row r="223" spans="1:10" x14ac:dyDescent="0.25">
      <c r="A223" t="s">
        <v>98</v>
      </c>
      <c r="B223" s="30" t="s">
        <v>1547</v>
      </c>
      <c r="H223" s="50" t="s">
        <v>1685</v>
      </c>
      <c r="I223" t="s">
        <v>1063</v>
      </c>
      <c r="J223" s="50" t="str">
        <f>IFERROR(VLOOKUP(Table358[[#This Row],[R&amp;D Tags]],'Old List of R&amp;D Tags vs IDI'!H:H,1,FALSE), " ")</f>
        <v>2-008-PD087_01-X</v>
      </c>
    </row>
    <row r="224" spans="1:10" x14ac:dyDescent="0.25">
      <c r="A224" t="s">
        <v>120</v>
      </c>
      <c r="B224" s="30" t="s">
        <v>1548</v>
      </c>
      <c r="H224" s="50" t="s">
        <v>1683</v>
      </c>
      <c r="I224" t="s">
        <v>1055</v>
      </c>
      <c r="J224" s="50" t="str">
        <f>IFERROR(VLOOKUP(Table358[[#This Row],[R&amp;D Tags]],'Old List of R&amp;D Tags vs IDI'!H:H,1,FALSE), " ")</f>
        <v>2-008-PD083_01-X</v>
      </c>
    </row>
    <row r="225" spans="1:10" x14ac:dyDescent="0.25">
      <c r="A225" t="s">
        <v>124</v>
      </c>
      <c r="B225" s="33" t="s">
        <v>1548</v>
      </c>
      <c r="H225" s="50" t="s">
        <v>1692</v>
      </c>
      <c r="I225" t="s">
        <v>1095</v>
      </c>
      <c r="J225" s="50" t="str">
        <f>IFERROR(VLOOKUP(Table358[[#This Row],[R&amp;D Tags]],'Old List of R&amp;D Tags vs IDI'!H:H,1,FALSE), " ")</f>
        <v>2-008-PD080_10_1-X</v>
      </c>
    </row>
    <row r="226" spans="1:10" x14ac:dyDescent="0.25">
      <c r="A226" t="s">
        <v>499</v>
      </c>
      <c r="B226" s="30" t="s">
        <v>1549</v>
      </c>
      <c r="H226" s="50" t="s">
        <v>1690</v>
      </c>
      <c r="I226" t="s">
        <v>1087</v>
      </c>
      <c r="J226" s="50" t="str">
        <f>IFERROR(VLOOKUP(Table358[[#This Row],[R&amp;D Tags]],'Old List of R&amp;D Tags vs IDI'!H:H,1,FALSE), " ")</f>
        <v>2-008-PC088-X</v>
      </c>
    </row>
    <row r="227" spans="1:10" x14ac:dyDescent="0.25">
      <c r="A227" t="s">
        <v>637</v>
      </c>
      <c r="B227" s="37" t="s">
        <v>1549</v>
      </c>
      <c r="H227" s="50" t="s">
        <v>1701</v>
      </c>
      <c r="I227" t="s">
        <v>1131</v>
      </c>
      <c r="J227" s="50" t="str">
        <f>IFERROR(VLOOKUP(Table358[[#This Row],[R&amp;D Tags]],'Old List of R&amp;D Tags vs IDI'!H:H,1,FALSE), " ")</f>
        <v>2-008-PC041_11-X</v>
      </c>
    </row>
    <row r="228" spans="1:10" x14ac:dyDescent="0.25">
      <c r="A228" t="s">
        <v>503</v>
      </c>
      <c r="B228" s="27" t="s">
        <v>1550</v>
      </c>
      <c r="H228" s="50" t="s">
        <v>1702</v>
      </c>
      <c r="I228" t="s">
        <v>1135</v>
      </c>
      <c r="J228" s="50" t="str">
        <f>IFERROR(VLOOKUP(Table358[[#This Row],[R&amp;D Tags]],'Old List of R&amp;D Tags vs IDI'!H:H,1,FALSE), " ")</f>
        <v>2-008-PC041_11TS-X</v>
      </c>
    </row>
    <row r="229" spans="1:10" x14ac:dyDescent="0.25">
      <c r="A229" t="s">
        <v>649</v>
      </c>
      <c r="B229" s="33" t="s">
        <v>1551</v>
      </c>
      <c r="H229" s="50" t="s">
        <v>1705</v>
      </c>
      <c r="I229" t="s">
        <v>1143</v>
      </c>
      <c r="J229" s="50" t="str">
        <f>IFERROR(VLOOKUP(Table358[[#This Row],[R&amp;D Tags]],'Old List of R&amp;D Tags vs IDI'!H:H,1,FALSE), " ")</f>
        <v>2-008-PC041_11-Q</v>
      </c>
    </row>
    <row r="230" spans="1:10" x14ac:dyDescent="0.25">
      <c r="A230" t="s">
        <v>486</v>
      </c>
      <c r="B230" s="30" t="s">
        <v>1551</v>
      </c>
      <c r="H230" s="50" t="s">
        <v>1707</v>
      </c>
      <c r="I230" t="s">
        <v>1153</v>
      </c>
      <c r="J230" s="50" t="str">
        <f>IFERROR(VLOOKUP(Table358[[#This Row],[R&amp;D Tags]],'Old List of R&amp;D Tags vs IDI'!H:H,1,FALSE), " ")</f>
        <v>2-008-PC041.11-X-STRAHL-SIEB</v>
      </c>
    </row>
    <row r="231" spans="1:10" x14ac:dyDescent="0.25">
      <c r="A231" t="s">
        <v>519</v>
      </c>
      <c r="B231" s="31" t="s">
        <v>1552</v>
      </c>
      <c r="H231" s="50" t="s">
        <v>1205</v>
      </c>
      <c r="I231" t="s">
        <v>1189</v>
      </c>
      <c r="J231" s="50" t="str">
        <f>IFERROR(VLOOKUP(Table358[[#This Row],[R&amp;D Tags]],'Old List of R&amp;D Tags vs IDI'!H:H,1,FALSE), " ")</f>
        <v>2-008-P041_30-XI</v>
      </c>
    </row>
    <row r="232" spans="1:10" x14ac:dyDescent="0.25">
      <c r="A232" t="s">
        <v>629</v>
      </c>
      <c r="B232" s="31" t="s">
        <v>1553</v>
      </c>
      <c r="H232" s="50" t="s">
        <v>1205</v>
      </c>
      <c r="I232" t="s">
        <v>34</v>
      </c>
      <c r="J232" s="50" t="str">
        <f>IFERROR(VLOOKUP(Table358[[#This Row],[R&amp;D Tags]],'Old List of R&amp;D Tags vs IDI'!H:H,1,FALSE), " ")</f>
        <v>2-008-P041_10-XI</v>
      </c>
    </row>
    <row r="233" spans="1:10" x14ac:dyDescent="0.25">
      <c r="A233" t="s">
        <v>523</v>
      </c>
      <c r="B233" s="40" t="s">
        <v>1554</v>
      </c>
      <c r="H233" s="50" t="s">
        <v>1699</v>
      </c>
      <c r="I233" t="s">
        <v>1123</v>
      </c>
      <c r="J233" s="50" t="str">
        <f>IFERROR(VLOOKUP(Table358[[#This Row],[R&amp;D Tags]],'Old List of R&amp;D Tags vs IDI'!H:H,1,FALSE), " ")</f>
        <v>2-008-HC041_30_1-Y</v>
      </c>
    </row>
    <row r="234" spans="1:10" x14ac:dyDescent="0.25">
      <c r="A234" t="s">
        <v>641</v>
      </c>
      <c r="B234" s="30" t="s">
        <v>1555</v>
      </c>
      <c r="H234" s="50" t="s">
        <v>1700</v>
      </c>
      <c r="I234" t="s">
        <v>1127</v>
      </c>
      <c r="J234" s="50" t="str">
        <f>IFERROR(VLOOKUP(Table358[[#This Row],[R&amp;D Tags]],'Old List of R&amp;D Tags vs IDI'!H:H,1,FALSE), " ")</f>
        <v>2-008-HC041_10_1-Y</v>
      </c>
    </row>
    <row r="235" spans="1:10" x14ac:dyDescent="0.25">
      <c r="A235" t="s">
        <v>507</v>
      </c>
      <c r="B235" s="27" t="s">
        <v>1555</v>
      </c>
      <c r="H235" s="50" t="s">
        <v>1695</v>
      </c>
      <c r="I235" t="s">
        <v>1107</v>
      </c>
      <c r="J235" s="50" t="str">
        <f>IFERROR(VLOOKUP(Table358[[#This Row],[R&amp;D Tags]],'Old List of R&amp;D Tags vs IDI'!H:H,1,FALSE), " ")</f>
        <v>2-008-FI087_24-X</v>
      </c>
    </row>
    <row r="236" spans="1:10" x14ac:dyDescent="0.25">
      <c r="A236" t="s">
        <v>568</v>
      </c>
      <c r="B236" s="27" t="s">
        <v>725</v>
      </c>
      <c r="H236" s="50" t="s">
        <v>1696</v>
      </c>
      <c r="I236" t="s">
        <v>1111</v>
      </c>
      <c r="J236" s="50" t="str">
        <f>IFERROR(VLOOKUP(Table358[[#This Row],[R&amp;D Tags]],'Old List of R&amp;D Tags vs IDI'!H:H,1,FALSE), " ")</f>
        <v>2-008-FI087_23-X</v>
      </c>
    </row>
    <row r="237" spans="1:10" x14ac:dyDescent="0.25">
      <c r="A237" t="s">
        <v>593</v>
      </c>
      <c r="B237" s="27" t="s">
        <v>721</v>
      </c>
      <c r="H237" s="50" t="s">
        <v>1694</v>
      </c>
      <c r="I237" t="s">
        <v>1103</v>
      </c>
      <c r="J237" s="50" t="str">
        <f>IFERROR(VLOOKUP(Table358[[#This Row],[R&amp;D Tags]],'Old List of R&amp;D Tags vs IDI'!H:H,1,FALSE), " ")</f>
        <v>2-008-FI087_22-X</v>
      </c>
    </row>
    <row r="238" spans="1:10" x14ac:dyDescent="0.25">
      <c r="A238" t="s">
        <v>539</v>
      </c>
      <c r="B238" s="27" t="s">
        <v>733</v>
      </c>
      <c r="H238" s="50" t="s">
        <v>1693</v>
      </c>
      <c r="I238" t="s">
        <v>1099</v>
      </c>
      <c r="J238" s="50" t="str">
        <f>IFERROR(VLOOKUP(Table358[[#This Row],[R&amp;D Tags]],'Old List of R&amp;D Tags vs IDI'!H:H,1,FALSE), " ")</f>
        <v>2-008-FI087_21-X</v>
      </c>
    </row>
    <row r="239" spans="1:10" x14ac:dyDescent="0.25">
      <c r="A239" t="s">
        <v>543</v>
      </c>
      <c r="B239" s="27" t="s">
        <v>745</v>
      </c>
      <c r="H239" s="50" t="s">
        <v>1689</v>
      </c>
      <c r="I239" t="s">
        <v>1083</v>
      </c>
      <c r="J239" s="50" t="str">
        <f>IFERROR(VLOOKUP(Table358[[#This Row],[R&amp;D Tags]],'Old List of R&amp;D Tags vs IDI'!H:H,1,FALSE), " ")</f>
        <v>2-008-FI087_11-X</v>
      </c>
    </row>
    <row r="240" spans="1:10" x14ac:dyDescent="0.25">
      <c r="A240" t="s">
        <v>645</v>
      </c>
      <c r="B240" s="27" t="s">
        <v>749</v>
      </c>
      <c r="H240" s="50" t="s">
        <v>1295</v>
      </c>
      <c r="I240" t="s">
        <v>1161</v>
      </c>
      <c r="J240" s="50" t="str">
        <f>IFERROR(VLOOKUP(Table358[[#This Row],[R&amp;D Tags]],'Old List of R&amp;D Tags vs IDI'!H:H,1,FALSE), " ")</f>
        <v>2-008-FI033_01-X</v>
      </c>
    </row>
    <row r="241" spans="1:10" x14ac:dyDescent="0.25">
      <c r="A241" t="s">
        <v>527</v>
      </c>
      <c r="B241" s="27" t="s">
        <v>310</v>
      </c>
      <c r="H241" s="50" t="s">
        <v>1367</v>
      </c>
      <c r="I241" t="s">
        <v>1161</v>
      </c>
      <c r="J241" s="50" t="str">
        <f>IFERROR(VLOOKUP(Table358[[#This Row],[R&amp;D Tags]],'Old List of R&amp;D Tags vs IDI'!H:H,1,FALSE), " ")</f>
        <v>2-008-FI033_01-X</v>
      </c>
    </row>
    <row r="242" spans="1:10" x14ac:dyDescent="0.25">
      <c r="A242" t="s">
        <v>494</v>
      </c>
      <c r="B242" s="27" t="s">
        <v>322</v>
      </c>
      <c r="H242" s="50" t="s">
        <v>1691</v>
      </c>
      <c r="I242" t="s">
        <v>1091</v>
      </c>
      <c r="J242" s="50" t="str">
        <f>IFERROR(VLOOKUP(Table358[[#This Row],[R&amp;D Tags]],'Old List of R&amp;D Tags vs IDI'!H:H,1,FALSE), " ")</f>
        <v>2-008-FC088-X</v>
      </c>
    </row>
    <row r="243" spans="1:10" x14ac:dyDescent="0.25">
      <c r="A243" t="s">
        <v>490</v>
      </c>
      <c r="B243" s="27" t="s">
        <v>1556</v>
      </c>
      <c r="H243" s="50" t="s">
        <v>1689</v>
      </c>
      <c r="I243" t="s">
        <v>1079</v>
      </c>
      <c r="J243" s="50" t="str">
        <f>IFERROR(VLOOKUP(Table358[[#This Row],[R&amp;D Tags]],'Old List of R&amp;D Tags vs IDI'!H:H,1,FALSE), " ")</f>
        <v>2-008-FC087_01-X</v>
      </c>
    </row>
    <row r="244" spans="1:10" x14ac:dyDescent="0.25">
      <c r="A244" t="s">
        <v>515</v>
      </c>
      <c r="B244" s="27" t="s">
        <v>1557</v>
      </c>
      <c r="H244" s="50" t="s">
        <v>1535</v>
      </c>
      <c r="I244" t="s">
        <v>169</v>
      </c>
      <c r="J244" s="50" t="str">
        <f>IFERROR(VLOOKUP(Table358[[#This Row],[R&amp;D Tags]],'Old List of R&amp;D Tags vs IDI'!H:H,1,FALSE), " ")</f>
        <v>2-008-FC080_01_2-X</v>
      </c>
    </row>
    <row r="245" spans="1:10" x14ac:dyDescent="0.25">
      <c r="A245" t="s">
        <v>511</v>
      </c>
      <c r="B245" s="27" t="s">
        <v>685</v>
      </c>
      <c r="H245" s="50" t="s">
        <v>1534</v>
      </c>
      <c r="I245" t="s">
        <v>172</v>
      </c>
      <c r="J245" s="50" t="str">
        <f>IFERROR(VLOOKUP(Table358[[#This Row],[R&amp;D Tags]],'Old List of R&amp;D Tags vs IDI'!H:H,1,FALSE), " ")</f>
        <v>2-008-FC080_01_1-X</v>
      </c>
    </row>
    <row r="246" spans="1:10" x14ac:dyDescent="0.25">
      <c r="A246" t="s">
        <v>564</v>
      </c>
      <c r="B246" s="27" t="s">
        <v>689</v>
      </c>
      <c r="H246" s="50" t="s">
        <v>1283</v>
      </c>
      <c r="I246" t="s">
        <v>1216</v>
      </c>
      <c r="J246" s="50" t="str">
        <f>IFERROR(VLOOKUP(Table358[[#This Row],[R&amp;D Tags]],'Old List of R&amp;D Tags vs IDI'!H:H,1,FALSE), " ")</f>
        <v>2-008-FC031_04-X</v>
      </c>
    </row>
    <row r="247" spans="1:10" x14ac:dyDescent="0.25">
      <c r="A247" t="s">
        <v>535</v>
      </c>
      <c r="B247" s="27" t="s">
        <v>689</v>
      </c>
      <c r="H247" s="50" t="s">
        <v>1267</v>
      </c>
      <c r="I247" t="s">
        <v>1197</v>
      </c>
      <c r="J247" s="50" t="str">
        <f>IFERROR(VLOOKUP(Table358[[#This Row],[R&amp;D Tags]],'Old List of R&amp;D Tags vs IDI'!H:H,1,FALSE), " ")</f>
        <v>2-008-FC031_02-X</v>
      </c>
    </row>
    <row r="248" spans="1:10" x14ac:dyDescent="0.25">
      <c r="A248" t="s">
        <v>585</v>
      </c>
      <c r="B248" s="27" t="s">
        <v>701</v>
      </c>
      <c r="H248" s="50" t="s">
        <v>1205</v>
      </c>
      <c r="I248" t="s">
        <v>1193</v>
      </c>
      <c r="J248" s="50" t="str">
        <f>IFERROR(VLOOKUP(Table358[[#This Row],[R&amp;D Tags]],'Old List of R&amp;D Tags vs IDI'!H:H,1,FALSE), " ")</f>
        <v>2-008-FC031_01-X</v>
      </c>
    </row>
    <row r="249" spans="1:10" x14ac:dyDescent="0.25">
      <c r="A249" t="s">
        <v>625</v>
      </c>
      <c r="B249" s="27" t="s">
        <v>713</v>
      </c>
      <c r="H249" s="50" t="s">
        <v>1319</v>
      </c>
      <c r="I249" t="s">
        <v>1165</v>
      </c>
      <c r="J249" s="50" t="str">
        <f>IFERROR(VLOOKUP(Table358[[#This Row],[R&amp;D Tags]],'Old List of R&amp;D Tags vs IDI'!H:H,1,FALSE), " ")</f>
        <v>2-008-CI033_01-X</v>
      </c>
    </row>
    <row r="250" spans="1:10" x14ac:dyDescent="0.25">
      <c r="A250" t="s">
        <v>580</v>
      </c>
      <c r="B250" s="27" t="s">
        <v>709</v>
      </c>
      <c r="H250" s="50" t="s">
        <v>180</v>
      </c>
      <c r="I250" t="s">
        <v>1260</v>
      </c>
      <c r="J250" s="50" t="str">
        <f>IFERROR(VLOOKUP(Table358[[#This Row],[R&amp;D Tags]],'Old List of R&amp;D Tags vs IDI'!H:H,1,FALSE), " ")</f>
        <v>2-008-CC040_01-X</v>
      </c>
    </row>
    <row r="251" spans="1:10" x14ac:dyDescent="0.25">
      <c r="A251" t="s">
        <v>597</v>
      </c>
      <c r="B251" s="27" t="s">
        <v>278</v>
      </c>
      <c r="H251" s="50" t="s">
        <v>1307</v>
      </c>
      <c r="I251" t="s">
        <v>1157</v>
      </c>
      <c r="J251" s="50" t="str">
        <f>IFERROR(VLOOKUP(Table358[[#This Row],[R&amp;D Tags]],'Old List of R&amp;D Tags vs IDI'!H:H,1,FALSE), " ")</f>
        <v>2-008-CC031_01-X</v>
      </c>
    </row>
    <row r="252" spans="1:10" x14ac:dyDescent="0.25">
      <c r="A252" t="s">
        <v>555</v>
      </c>
      <c r="B252" s="27" t="s">
        <v>290</v>
      </c>
      <c r="H252" s="50" t="s">
        <v>1343</v>
      </c>
      <c r="I252" t="s">
        <v>1173</v>
      </c>
      <c r="J252" s="50" t="str">
        <f>IFERROR(VLOOKUP(Table358[[#This Row],[R&amp;D Tags]],'Old List of R&amp;D Tags vs IDI'!H:H,1,FALSE), " ")</f>
        <v>2-008-A041_10-X</v>
      </c>
    </row>
    <row r="253" spans="1:10" x14ac:dyDescent="0.25">
      <c r="A253" t="s">
        <v>551</v>
      </c>
      <c r="B253" s="27" t="s">
        <v>302</v>
      </c>
      <c r="H253" s="50" t="s">
        <v>1706</v>
      </c>
      <c r="I253" t="s">
        <v>1148</v>
      </c>
      <c r="J253" s="50" t="str">
        <f>IFERROR(VLOOKUP(Table358[[#This Row],[R&amp;D Tags]],'Old List of R&amp;D Tags vs IDI'!H:H,1,FALSE), " ")</f>
        <v>2-006-GI011_01-X</v>
      </c>
    </row>
    <row r="254" spans="1:10" x14ac:dyDescent="0.25">
      <c r="A254" t="s">
        <v>633</v>
      </c>
      <c r="B254" s="27" t="s">
        <v>306</v>
      </c>
      <c r="H254" s="50" t="s">
        <v>1601</v>
      </c>
      <c r="I254" t="s">
        <v>761</v>
      </c>
      <c r="J254" s="50" t="str">
        <f>IFERROR(VLOOKUP(Table358[[#This Row],[R&amp;D Tags]],'Old List of R&amp;D Tags vs IDI'!H:H,1,FALSE), " ")</f>
        <v>1-000-TC025_02-X</v>
      </c>
    </row>
    <row r="255" spans="1:10" x14ac:dyDescent="0.25">
      <c r="A255" t="s">
        <v>572</v>
      </c>
      <c r="B255" s="27" t="s">
        <v>681</v>
      </c>
      <c r="H255" s="50" t="s">
        <v>1602</v>
      </c>
      <c r="I255" t="s">
        <v>765</v>
      </c>
      <c r="J255" s="50" t="str">
        <f>IFERROR(VLOOKUP(Table358[[#This Row],[R&amp;D Tags]],'Old List of R&amp;D Tags vs IDI'!H:H,1,FALSE), " ")</f>
        <v>1-000-TC025_01-X</v>
      </c>
    </row>
    <row r="256" spans="1:10" x14ac:dyDescent="0.25">
      <c r="A256" t="s">
        <v>653</v>
      </c>
      <c r="B256" s="27" t="s">
        <v>693</v>
      </c>
      <c r="H256" s="50" t="s">
        <v>1148</v>
      </c>
      <c r="I256" t="s">
        <v>1363</v>
      </c>
      <c r="J256" s="50" t="str">
        <f>IFERROR(VLOOKUP(Table358[[#This Row],[R&amp;D Tags]],'Old List of R&amp;D Tags vs IDI'!H:H,1,FALSE), " ")</f>
        <v>1-000-QI005_11-X</v>
      </c>
    </row>
    <row r="257" spans="1:10" x14ac:dyDescent="0.25">
      <c r="A257" t="s">
        <v>547</v>
      </c>
      <c r="B257" s="27" t="s">
        <v>705</v>
      </c>
      <c r="H257" s="50" t="s">
        <v>248</v>
      </c>
      <c r="I257" t="s">
        <v>1355</v>
      </c>
      <c r="J257" s="50" t="str">
        <f>IFERROR(VLOOKUP(Table358[[#This Row],[R&amp;D Tags]],'Old List of R&amp;D Tags vs IDI'!H:H,1,FALSE), " ")</f>
        <v>1-000-QI005_10-X</v>
      </c>
    </row>
    <row r="258" spans="1:10" x14ac:dyDescent="0.25">
      <c r="A258" t="s">
        <v>401</v>
      </c>
      <c r="B258" s="27" t="s">
        <v>717</v>
      </c>
      <c r="H258" s="50" t="s">
        <v>1363</v>
      </c>
      <c r="I258" t="s">
        <v>1279</v>
      </c>
      <c r="J258" s="50" t="str">
        <f>IFERROR(VLOOKUP(Table358[[#This Row],[R&amp;D Tags]],'Old List of R&amp;D Tags vs IDI'!H:H,1,FALSE), " ")</f>
        <v>1-000-PI003_11DP-X</v>
      </c>
    </row>
    <row r="259" spans="1:10" x14ac:dyDescent="0.25">
      <c r="A259" t="s">
        <v>531</v>
      </c>
      <c r="B259" s="27" t="s">
        <v>729</v>
      </c>
      <c r="H259" s="50" t="s">
        <v>1271</v>
      </c>
      <c r="I259" t="s">
        <v>1271</v>
      </c>
      <c r="J259" s="50" t="str">
        <f>IFERROR(VLOOKUP(Table358[[#This Row],[R&amp;D Tags]],'Old List of R&amp;D Tags vs IDI'!H:H,1,FALSE), " ")</f>
        <v>1-000-PI002_2DP-X</v>
      </c>
    </row>
    <row r="260" spans="1:10" x14ac:dyDescent="0.25">
      <c r="A260" t="s">
        <v>560</v>
      </c>
      <c r="B260" s="27" t="s">
        <v>741</v>
      </c>
      <c r="H260" s="50" t="s">
        <v>244</v>
      </c>
      <c r="I260" t="s">
        <v>1351</v>
      </c>
      <c r="J260" s="50" t="str">
        <f>IFERROR(VLOOKUP(Table358[[#This Row],[R&amp;D Tags]],'Old List of R&amp;D Tags vs IDI'!H:H,1,FALSE), " ")</f>
        <v>1-000-FI005_9_1-X</v>
      </c>
    </row>
    <row r="261" spans="1:10" x14ac:dyDescent="0.25">
      <c r="A261" t="s">
        <v>576</v>
      </c>
      <c r="B261" s="27" t="s">
        <v>757</v>
      </c>
      <c r="H261" s="50" t="s">
        <v>1157</v>
      </c>
      <c r="I261" t="s">
        <v>1371</v>
      </c>
      <c r="J261" s="50" t="str">
        <f>IFERROR(VLOOKUP(Table358[[#This Row],[R&amp;D Tags]],'Old List of R&amp;D Tags vs IDI'!H:H,1,FALSE), " ")</f>
        <v>1-000-FC005_9_2-X</v>
      </c>
    </row>
    <row r="262" spans="1:10" x14ac:dyDescent="0.25">
      <c r="A262" t="s">
        <v>589</v>
      </c>
      <c r="B262" s="27" t="s">
        <v>282</v>
      </c>
      <c r="H262" s="50" t="s">
        <v>227</v>
      </c>
      <c r="I262" t="s">
        <v>1339</v>
      </c>
      <c r="J262" s="50" t="str">
        <f>IFERROR(VLOOKUP(Table358[[#This Row],[R&amp;D Tags]],'Old List of R&amp;D Tags vs IDI'!H:H,1,FALSE), " ")</f>
        <v>1-000-FC005_8_2-X</v>
      </c>
    </row>
    <row r="263" spans="1:10" x14ac:dyDescent="0.25">
      <c r="A263" t="s">
        <v>934</v>
      </c>
      <c r="B263" s="27" t="s">
        <v>298</v>
      </c>
      <c r="H263" s="50" t="s">
        <v>218</v>
      </c>
      <c r="I263" t="s">
        <v>1335</v>
      </c>
      <c r="J263" s="50" t="str">
        <f>IFERROR(VLOOKUP(Table358[[#This Row],[R&amp;D Tags]],'Old List of R&amp;D Tags vs IDI'!H:H,1,FALSE), " ")</f>
        <v>1-000-FC005_8_1-X</v>
      </c>
    </row>
    <row r="264" spans="1:10" x14ac:dyDescent="0.25">
      <c r="A264" t="s">
        <v>905</v>
      </c>
      <c r="B264" s="27" t="s">
        <v>294</v>
      </c>
      <c r="H264" s="50" t="s">
        <v>212</v>
      </c>
      <c r="I264" t="s">
        <v>1311</v>
      </c>
      <c r="J264" s="50" t="str">
        <f>IFERROR(VLOOKUP(Table358[[#This Row],[R&amp;D Tags]],'Old List of R&amp;D Tags vs IDI'!H:H,1,FALSE), " ")</f>
        <v>1-000-FC005_4-X</v>
      </c>
    </row>
    <row r="265" spans="1:10" x14ac:dyDescent="0.25">
      <c r="A265" t="s">
        <v>817</v>
      </c>
      <c r="B265" s="27" t="s">
        <v>314</v>
      </c>
      <c r="H265" s="50" t="s">
        <v>209</v>
      </c>
      <c r="I265" t="s">
        <v>1315</v>
      </c>
      <c r="J265" s="50" t="str">
        <f>IFERROR(VLOOKUP(Table358[[#This Row],[R&amp;D Tags]],'Old List of R&amp;D Tags vs IDI'!H:H,1,FALSE), " ")</f>
        <v>1-000-FC005_3-X</v>
      </c>
    </row>
    <row r="266" spans="1:10" x14ac:dyDescent="0.25">
      <c r="A266" t="s">
        <v>661</v>
      </c>
      <c r="B266" s="27" t="s">
        <v>318</v>
      </c>
      <c r="H266" s="50" t="s">
        <v>240</v>
      </c>
      <c r="I266" t="s">
        <v>1323</v>
      </c>
      <c r="J266" s="50" t="str">
        <f>IFERROR(VLOOKUP(Table358[[#This Row],[R&amp;D Tags]],'Old List of R&amp;D Tags vs IDI'!H:H,1,FALSE), " ")</f>
        <v>1-000-FC005_2-X</v>
      </c>
    </row>
    <row r="267" spans="1:10" x14ac:dyDescent="0.25">
      <c r="A267" t="s">
        <v>921</v>
      </c>
      <c r="B267" s="27" t="s">
        <v>737</v>
      </c>
      <c r="H267" s="50" t="s">
        <v>233</v>
      </c>
      <c r="I267" t="s">
        <v>1327</v>
      </c>
      <c r="J267" s="50" t="str">
        <f>IFERROR(VLOOKUP(Table358[[#This Row],[R&amp;D Tags]],'Old List of R&amp;D Tags vs IDI'!H:H,1,FALSE), " ")</f>
        <v>1-000-FC005_1-X</v>
      </c>
    </row>
    <row r="268" spans="1:10" x14ac:dyDescent="0.25">
      <c r="A268" t="s">
        <v>869</v>
      </c>
      <c r="B268" s="27" t="s">
        <v>1037</v>
      </c>
      <c r="H268" s="50" t="s">
        <v>1193</v>
      </c>
      <c r="I268" t="s">
        <v>1387</v>
      </c>
      <c r="J268" s="50" t="str">
        <f>IFERROR(VLOOKUP(Table358[[#This Row],[R&amp;D Tags]],'Old List of R&amp;D Tags vs IDI'!H:H,1,FALSE), " ")</f>
        <v>1-000-FC005_14-X</v>
      </c>
    </row>
    <row r="269" spans="1:10" x14ac:dyDescent="0.25">
      <c r="A269" t="s">
        <v>873</v>
      </c>
      <c r="B269" s="27" t="s">
        <v>1558</v>
      </c>
      <c r="H269" s="50" t="s">
        <v>1260</v>
      </c>
      <c r="I269" t="s">
        <v>1375</v>
      </c>
      <c r="J269" s="50" t="str">
        <f>IFERROR(VLOOKUP(Table358[[#This Row],[R&amp;D Tags]],'Old List of R&amp;D Tags vs IDI'!H:H,1,FALSE), " ")</f>
        <v>1-000-FC005_10-X</v>
      </c>
    </row>
    <row r="270" spans="1:10" x14ac:dyDescent="0.25">
      <c r="A270" t="s">
        <v>841</v>
      </c>
      <c r="B270" s="27" t="s">
        <v>914</v>
      </c>
      <c r="H270" s="50" t="s">
        <v>765</v>
      </c>
      <c r="I270" t="s">
        <v>1283</v>
      </c>
      <c r="J270" s="50" t="str">
        <f>IFERROR(VLOOKUP(Table358[[#This Row],[R&amp;D Tags]],'Old List of R&amp;D Tags vs IDI'!H:H,1,FALSE), " ")</f>
        <v>1-000-FC003_1-X</v>
      </c>
    </row>
    <row r="271" spans="1:10" x14ac:dyDescent="0.25">
      <c r="A271" t="s">
        <v>845</v>
      </c>
      <c r="B271" s="27" t="s">
        <v>918</v>
      </c>
      <c r="H271" s="50" t="s">
        <v>1355</v>
      </c>
      <c r="I271" t="s">
        <v>1275</v>
      </c>
      <c r="J271" s="50" t="str">
        <f>IFERROR(VLOOKUP(Table358[[#This Row],[R&amp;D Tags]],'Old List of R&amp;D Tags vs IDI'!H:H,1,FALSE), " ")</f>
        <v>1-000-FC002_1-X</v>
      </c>
    </row>
    <row r="272" spans="1:10" x14ac:dyDescent="0.25">
      <c r="A272" t="s">
        <v>849</v>
      </c>
      <c r="B272" s="27" t="s">
        <v>1559</v>
      </c>
      <c r="H272" s="50" t="s">
        <v>665</v>
      </c>
      <c r="I272" t="s">
        <v>1359</v>
      </c>
      <c r="J272" s="50" t="str">
        <f>IFERROR(VLOOKUP(Table358[[#This Row],[R&amp;D Tags]],'Old List of R&amp;D Tags vs IDI'!H:H,1,FALSE), " ")</f>
        <v>1-000-EI005_10-X</v>
      </c>
    </row>
    <row r="273" spans="1:10" x14ac:dyDescent="0.25">
      <c r="A273" t="s">
        <v>853</v>
      </c>
      <c r="B273" s="27" t="s">
        <v>916</v>
      </c>
      <c r="H273" s="50" t="s">
        <v>197</v>
      </c>
      <c r="I273" t="s">
        <v>1291</v>
      </c>
      <c r="J273" s="50" t="str">
        <f>IFERROR(VLOOKUP(Table358[[#This Row],[R&amp;D Tags]],'Old List of R&amp;D Tags vs IDI'!H:H,1,FALSE), " ")</f>
        <v>1-000-EI004_2-X</v>
      </c>
    </row>
    <row r="274" spans="1:10" x14ac:dyDescent="0.25">
      <c r="A274" t="s">
        <v>857</v>
      </c>
      <c r="B274" s="27" t="s">
        <v>421</v>
      </c>
      <c r="H274" s="50" t="s">
        <v>761</v>
      </c>
      <c r="I274" t="s">
        <v>1287</v>
      </c>
      <c r="J274" s="50" t="str">
        <f>IFERROR(VLOOKUP(Table358[[#This Row],[R&amp;D Tags]],'Old List of R&amp;D Tags vs IDI'!H:H,1,FALSE), " ")</f>
        <v>1-000-EI004_1-X</v>
      </c>
    </row>
    <row r="275" spans="1:10" x14ac:dyDescent="0.25">
      <c r="A275" t="s">
        <v>861</v>
      </c>
      <c r="B275" s="27" t="s">
        <v>1560</v>
      </c>
      <c r="H275" s="50" t="s">
        <v>1279</v>
      </c>
      <c r="I275" t="s">
        <v>1458</v>
      </c>
      <c r="J275" s="50" t="str">
        <f>IFERROR(VLOOKUP(Table358[[#This Row],[R&amp;D Tags]],'Old List of R&amp;D Tags vs IDI'!H:H,1,FALSE), " ")</f>
        <v>1-000-EI003_1-X</v>
      </c>
    </row>
    <row r="276" spans="1:10" x14ac:dyDescent="0.25">
      <c r="A276" t="s">
        <v>865</v>
      </c>
      <c r="B276" s="27" t="s">
        <v>413</v>
      </c>
      <c r="H276" s="50" t="s">
        <v>1351</v>
      </c>
      <c r="I276" t="s">
        <v>1267</v>
      </c>
      <c r="J276" s="50" t="str">
        <f>IFERROR(VLOOKUP(Table358[[#This Row],[R&amp;D Tags]],'Old List of R&amp;D Tags vs IDI'!H:H,1,FALSE), " ")</f>
        <v>1-000-EI002_1-X</v>
      </c>
    </row>
    <row r="277" spans="1:10" x14ac:dyDescent="0.25">
      <c r="A277" t="s">
        <v>909</v>
      </c>
      <c r="B277" s="27" t="s">
        <v>1561</v>
      </c>
      <c r="H277" s="50" t="s">
        <v>1291</v>
      </c>
      <c r="I277" t="s">
        <v>1205</v>
      </c>
      <c r="J277" s="50" t="str">
        <f>IFERROR(VLOOKUP(Table358[[#This Row],[R&amp;D Tags]],'Old List of R&amp;D Tags vs IDI'!H:H,1,FALSE), " ")</f>
        <v>1-000-CC007_01-X</v>
      </c>
    </row>
    <row r="278" spans="1:10" x14ac:dyDescent="0.25">
      <c r="A278" t="s">
        <v>821</v>
      </c>
      <c r="B278" s="27" t="s">
        <v>437</v>
      </c>
      <c r="H278" s="50" t="s">
        <v>1287</v>
      </c>
      <c r="I278" t="s">
        <v>1201</v>
      </c>
      <c r="J278" s="50" t="str">
        <f>IFERROR(VLOOKUP(Table358[[#This Row],[R&amp;D Tags]],'Old List of R&amp;D Tags vs IDI'!H:H,1,FALSE), " ")</f>
        <v>1-000-CC006_01-X</v>
      </c>
    </row>
    <row r="279" spans="1:10" x14ac:dyDescent="0.25">
      <c r="A279" t="s">
        <v>669</v>
      </c>
      <c r="B279" s="31" t="s">
        <v>150</v>
      </c>
      <c r="H279" s="50" t="s">
        <v>224</v>
      </c>
      <c r="I279" t="s">
        <v>1343</v>
      </c>
      <c r="J279" s="50" t="str">
        <f>IFERROR(VLOOKUP(Table358[[#This Row],[R&amp;D Tags]],'Old List of R&amp;D Tags vs IDI'!H:H,1,FALSE), " ")</f>
        <v>1-000-CC005_1_3-X</v>
      </c>
    </row>
    <row r="280" spans="1:10" x14ac:dyDescent="0.25">
      <c r="A280" t="s">
        <v>1024</v>
      </c>
      <c r="B280" s="31" t="s">
        <v>150</v>
      </c>
      <c r="H280" s="50" t="s">
        <v>230</v>
      </c>
      <c r="I280" t="s">
        <v>1331</v>
      </c>
      <c r="J280" s="50" t="str">
        <f>IFERROR(VLOOKUP(Table358[[#This Row],[R&amp;D Tags]],'Old List of R&amp;D Tags vs IDI'!H:H,1,FALSE), " ")</f>
        <v>1-000-CC005_1_2-X</v>
      </c>
    </row>
    <row r="281" spans="1:10" ht="45" x14ac:dyDescent="0.25">
      <c r="A281" t="s">
        <v>885</v>
      </c>
      <c r="B281" s="27" t="s">
        <v>1562</v>
      </c>
      <c r="H281" s="50" t="s">
        <v>236</v>
      </c>
      <c r="I281" t="s">
        <v>1319</v>
      </c>
      <c r="J281" s="50" t="str">
        <f>IFERROR(VLOOKUP(Table358[[#This Row],[R&amp;D Tags]],'Old List of R&amp;D Tags vs IDI'!H:H,1,FALSE), " ")</f>
        <v>1-000-CC005_1_1-X</v>
      </c>
    </row>
    <row r="282" spans="1:10" x14ac:dyDescent="0.25">
      <c r="A282" t="s">
        <v>925</v>
      </c>
      <c r="B282" s="27" t="s">
        <v>425</v>
      </c>
      <c r="H282" s="50" t="s">
        <v>184</v>
      </c>
      <c r="I282" t="s">
        <v>1456</v>
      </c>
      <c r="J282" s="50" t="str">
        <f>IFERROR(VLOOKUP(Table358[[#This Row],[R&amp;D Tags]],'Old List of R&amp;D Tags vs IDI'!H:H,1,FALSE), " ")</f>
        <v>1-000-CC001_30-X</v>
      </c>
    </row>
    <row r="283" spans="1:10" ht="45" x14ac:dyDescent="0.25">
      <c r="A283" t="s">
        <v>673</v>
      </c>
      <c r="B283" s="27" t="s">
        <v>1563</v>
      </c>
      <c r="H283" s="50" t="s">
        <v>1173</v>
      </c>
      <c r="I283" t="s">
        <v>1367</v>
      </c>
      <c r="J283" s="50" t="str">
        <f>IFERROR(VLOOKUP(Table358[[#This Row],[R&amp;D Tags]],'Old List of R&amp;D Tags vs IDI'!H:H,1,FALSE), " ")</f>
        <v>1-000-A005_11-X</v>
      </c>
    </row>
    <row r="284" spans="1:10" x14ac:dyDescent="0.25">
      <c r="A284" t="s">
        <v>929</v>
      </c>
      <c r="B284" s="27" t="s">
        <v>417</v>
      </c>
      <c r="H284" s="50" t="s">
        <v>200</v>
      </c>
      <c r="I284" t="s">
        <v>1295</v>
      </c>
      <c r="J284" s="50" t="str">
        <f>IFERROR(VLOOKUP(Table358[[#This Row],[R&amp;D Tags]],'Old List of R&amp;D Tags vs IDI'!H:H,1,FALSE), " ")</f>
        <v>1-000-A004_3-X</v>
      </c>
    </row>
    <row r="285" spans="1:10" x14ac:dyDescent="0.25">
      <c r="A285" t="s">
        <v>829</v>
      </c>
      <c r="B285" s="27" t="s">
        <v>605</v>
      </c>
      <c r="H285" s="50" t="s">
        <v>215</v>
      </c>
      <c r="I285" t="s">
        <v>1307</v>
      </c>
      <c r="J285" s="50" t="str">
        <f>IFERROR(VLOOKUP(Table358[[#This Row],[R&amp;D Tags]],'Old List of R&amp;D Tags vs IDI'!H:H,1,FALSE), " ")</f>
        <v>1-000-A001_37-X</v>
      </c>
    </row>
    <row r="286" spans="1:10" x14ac:dyDescent="0.25">
      <c r="A286" t="s">
        <v>833</v>
      </c>
      <c r="B286" s="27" t="s">
        <v>617</v>
      </c>
      <c r="H286" s="50" t="s">
        <v>1451</v>
      </c>
      <c r="I286" s="44" t="s">
        <v>1718</v>
      </c>
      <c r="J286" s="50" t="str">
        <f>IFERROR(VLOOKUP(Table358[[#This Row],[R&amp;D Tags]],'Old List of R&amp;D Tags vs IDI'!H:H,1,FALSE), " ")</f>
        <v xml:space="preserve"> </v>
      </c>
    </row>
    <row r="287" spans="1:10" x14ac:dyDescent="0.25">
      <c r="A287" t="s">
        <v>677</v>
      </c>
      <c r="B287" s="27" t="s">
        <v>445</v>
      </c>
      <c r="H287" s="50" t="s">
        <v>1452</v>
      </c>
      <c r="I287" s="44" t="s">
        <v>17</v>
      </c>
      <c r="J287" s="50" t="str">
        <f>IFERROR(VLOOKUP(Table358[[#This Row],[R&amp;D Tags]],'Old List of R&amp;D Tags vs IDI'!H:H,1,FALSE), " ")</f>
        <v xml:space="preserve"> </v>
      </c>
    </row>
    <row r="288" spans="1:10" x14ac:dyDescent="0.25">
      <c r="A288" t="s">
        <v>877</v>
      </c>
      <c r="B288" s="27" t="s">
        <v>447</v>
      </c>
      <c r="H288" s="50" t="s">
        <v>1453</v>
      </c>
      <c r="I288" s="44" t="s">
        <v>21</v>
      </c>
      <c r="J288" s="50" t="str">
        <f>IFERROR(VLOOKUP(Table358[[#This Row],[R&amp;D Tags]],'Old List of R&amp;D Tags vs IDI'!H:H,1,FALSE), " ")</f>
        <v xml:space="preserve"> </v>
      </c>
    </row>
    <row r="289" spans="1:10" x14ac:dyDescent="0.25">
      <c r="A289" t="s">
        <v>825</v>
      </c>
      <c r="B289" s="27" t="s">
        <v>1564</v>
      </c>
      <c r="H289" s="50" t="s">
        <v>1454</v>
      </c>
      <c r="I289" s="44" t="s">
        <v>1719</v>
      </c>
      <c r="J289" s="50" t="str">
        <f>IFERROR(VLOOKUP(Table358[[#This Row],[R&amp;D Tags]],'Old List of R&amp;D Tags vs IDI'!H:H,1,FALSE), " ")</f>
        <v xml:space="preserve"> </v>
      </c>
    </row>
    <row r="290" spans="1:10" x14ac:dyDescent="0.25">
      <c r="A290" t="s">
        <v>837</v>
      </c>
      <c r="B290" s="27" t="s">
        <v>1565</v>
      </c>
      <c r="H290" s="50" t="s">
        <v>1455</v>
      </c>
      <c r="I290" s="44" t="s">
        <v>25</v>
      </c>
      <c r="J290" s="50" t="str">
        <f>IFERROR(VLOOKUP(Table358[[#This Row],[R&amp;D Tags]],'Old List of R&amp;D Tags vs IDI'!H:H,1,FALSE), " ")</f>
        <v xml:space="preserve"> </v>
      </c>
    </row>
    <row r="291" spans="1:10" x14ac:dyDescent="0.25">
      <c r="A291" t="s">
        <v>376</v>
      </c>
      <c r="B291" s="27" t="s">
        <v>609</v>
      </c>
      <c r="H291" s="50" t="s">
        <v>1457</v>
      </c>
      <c r="I291" s="44" t="s">
        <v>1720</v>
      </c>
      <c r="J291" s="50" t="str">
        <f>IFERROR(VLOOKUP(Table358[[#This Row],[R&amp;D Tags]],'Old List of R&amp;D Tags vs IDI'!H:H,1,FALSE), " ")</f>
        <v xml:space="preserve"> </v>
      </c>
    </row>
    <row r="292" spans="1:10" x14ac:dyDescent="0.25">
      <c r="A292" t="s">
        <v>881</v>
      </c>
      <c r="B292" s="27" t="s">
        <v>621</v>
      </c>
      <c r="H292" s="50" t="s">
        <v>1459</v>
      </c>
      <c r="I292" s="44" t="s">
        <v>1721</v>
      </c>
      <c r="J292" s="50" t="str">
        <f>IFERROR(VLOOKUP(Table358[[#This Row],[R&amp;D Tags]],'Old List of R&amp;D Tags vs IDI'!H:H,1,FALSE), " ")</f>
        <v xml:space="preserve"> </v>
      </c>
    </row>
    <row r="293" spans="1:10" x14ac:dyDescent="0.25">
      <c r="A293" t="s">
        <v>368</v>
      </c>
      <c r="B293" s="27" t="s">
        <v>465</v>
      </c>
      <c r="H293" s="50" t="s">
        <v>1460</v>
      </c>
      <c r="I293" s="44" t="s">
        <v>1722</v>
      </c>
      <c r="J293" s="50" t="str">
        <f>IFERROR(VLOOKUP(Table358[[#This Row],[R&amp;D Tags]],'Old List of R&amp;D Tags vs IDI'!H:H,1,FALSE), " ")</f>
        <v xml:space="preserve"> </v>
      </c>
    </row>
    <row r="294" spans="1:10" x14ac:dyDescent="0.25">
      <c r="A294" t="s">
        <v>326</v>
      </c>
      <c r="B294" s="27" t="s">
        <v>477</v>
      </c>
      <c r="H294" s="50" t="s">
        <v>1461</v>
      </c>
      <c r="I294" s="44" t="s">
        <v>1723</v>
      </c>
      <c r="J294" s="50" t="str">
        <f>IFERROR(VLOOKUP(Table358[[#This Row],[R&amp;D Tags]],'Old List of R&amp;D Tags vs IDI'!H:H,1,FALSE), " ")</f>
        <v xml:space="preserve"> </v>
      </c>
    </row>
    <row r="295" spans="1:10" x14ac:dyDescent="0.25">
      <c r="A295" t="s">
        <v>260</v>
      </c>
      <c r="B295" s="27" t="s">
        <v>388</v>
      </c>
      <c r="H295" s="50" t="s">
        <v>1462</v>
      </c>
      <c r="I295" s="44" t="s">
        <v>1724</v>
      </c>
      <c r="J295" s="50" t="str">
        <f>IFERROR(VLOOKUP(Table358[[#This Row],[R&amp;D Tags]],'Old List of R&amp;D Tags vs IDI'!H:H,1,FALSE), " ")</f>
        <v xml:space="preserve"> </v>
      </c>
    </row>
    <row r="296" spans="1:10" x14ac:dyDescent="0.25">
      <c r="A296" t="s">
        <v>364</v>
      </c>
      <c r="B296" s="27" t="s">
        <v>405</v>
      </c>
      <c r="H296" s="50" t="s">
        <v>1463</v>
      </c>
      <c r="I296" s="44" t="s">
        <v>1725</v>
      </c>
      <c r="J296" s="50" t="str">
        <f>IFERROR(VLOOKUP(Table358[[#This Row],[R&amp;D Tags]],'Old List of R&amp;D Tags vs IDI'!H:H,1,FALSE), " ")</f>
        <v xml:space="preserve"> </v>
      </c>
    </row>
    <row r="297" spans="1:10" x14ac:dyDescent="0.25">
      <c r="A297" t="s">
        <v>372</v>
      </c>
      <c r="B297" s="27" t="s">
        <v>601</v>
      </c>
      <c r="H297" s="50" t="s">
        <v>1465</v>
      </c>
      <c r="I297" s="44" t="s">
        <v>47</v>
      </c>
      <c r="J297" s="50" t="str">
        <f>IFERROR(VLOOKUP(Table358[[#This Row],[R&amp;D Tags]],'Old List of R&amp;D Tags vs IDI'!H:H,1,FALSE), " ")</f>
        <v xml:space="preserve"> </v>
      </c>
    </row>
    <row r="298" spans="1:10" x14ac:dyDescent="0.25">
      <c r="A298" t="s">
        <v>268</v>
      </c>
      <c r="B298" s="27" t="s">
        <v>613</v>
      </c>
      <c r="H298" s="50" t="s">
        <v>1467</v>
      </c>
      <c r="I298" s="44" t="s">
        <v>55</v>
      </c>
      <c r="J298" s="50" t="str">
        <f>IFERROR(VLOOKUP(Table358[[#This Row],[R&amp;D Tags]],'Old List of R&amp;D Tags vs IDI'!H:H,1,FALSE), " ")</f>
        <v xml:space="preserve"> </v>
      </c>
    </row>
    <row r="299" spans="1:10" x14ac:dyDescent="0.25">
      <c r="A299" t="s">
        <v>1224</v>
      </c>
      <c r="B299" s="27" t="s">
        <v>1566</v>
      </c>
      <c r="H299" s="50" t="s">
        <v>1471</v>
      </c>
      <c r="I299" s="44" t="s">
        <v>73</v>
      </c>
      <c r="J299" s="50" t="str">
        <f>IFERROR(VLOOKUP(Table358[[#This Row],[R&amp;D Tags]],'Old List of R&amp;D Tags vs IDI'!H:H,1,FALSE), " ")</f>
        <v xml:space="preserve"> </v>
      </c>
    </row>
    <row r="300" spans="1:10" x14ac:dyDescent="0.25">
      <c r="A300" t="s">
        <v>1209</v>
      </c>
      <c r="B300" s="27" t="s">
        <v>264</v>
      </c>
      <c r="H300" s="50" t="s">
        <v>1472</v>
      </c>
      <c r="I300" s="44" t="s">
        <v>77</v>
      </c>
      <c r="J300" s="50" t="str">
        <f>IFERROR(VLOOKUP(Table358[[#This Row],[R&amp;D Tags]],'Old List of R&amp;D Tags vs IDI'!H:H,1,FALSE), " ")</f>
        <v xml:space="preserve"> </v>
      </c>
    </row>
    <row r="301" spans="1:10" x14ac:dyDescent="0.25">
      <c r="A301" t="s">
        <v>974</v>
      </c>
      <c r="B301" s="27" t="s">
        <v>264</v>
      </c>
      <c r="H301" s="50" t="s">
        <v>1473</v>
      </c>
      <c r="I301" s="44" t="s">
        <v>80</v>
      </c>
      <c r="J301" s="50" t="str">
        <f>IFERROR(VLOOKUP(Table358[[#This Row],[R&amp;D Tags]],'Old List of R&amp;D Tags vs IDI'!H:H,1,FALSE), " ")</f>
        <v xml:space="preserve"> </v>
      </c>
    </row>
    <row r="302" spans="1:10" x14ac:dyDescent="0.25">
      <c r="A302" t="s">
        <v>256</v>
      </c>
      <c r="B302" s="27" t="s">
        <v>1567</v>
      </c>
      <c r="H302" s="50" t="s">
        <v>1474</v>
      </c>
      <c r="I302" s="44" t="s">
        <v>84</v>
      </c>
      <c r="J302" s="50" t="str">
        <f>IFERROR(VLOOKUP(Table358[[#This Row],[R&amp;D Tags]],'Old List of R&amp;D Tags vs IDI'!H:H,1,FALSE), " ")</f>
        <v xml:space="preserve"> </v>
      </c>
    </row>
    <row r="303" spans="1:10" x14ac:dyDescent="0.25">
      <c r="A303" t="s">
        <v>252</v>
      </c>
      <c r="B303" s="27" t="s">
        <v>461</v>
      </c>
      <c r="H303" s="50" t="s">
        <v>1475</v>
      </c>
      <c r="I303" s="44" t="s">
        <v>88</v>
      </c>
      <c r="J303" s="50" t="str">
        <f>IFERROR(VLOOKUP(Table358[[#This Row],[R&amp;D Tags]],'Old List of R&amp;D Tags vs IDI'!H:H,1,FALSE), " ")</f>
        <v xml:space="preserve"> </v>
      </c>
    </row>
    <row r="304" spans="1:10" x14ac:dyDescent="0.25">
      <c r="A304" t="s">
        <v>13</v>
      </c>
      <c r="B304" s="27" t="s">
        <v>469</v>
      </c>
      <c r="H304" s="50" t="s">
        <v>1499</v>
      </c>
      <c r="I304" s="44" t="s">
        <v>331</v>
      </c>
      <c r="J304" s="50" t="str">
        <f>IFERROR(VLOOKUP(Table358[[#This Row],[R&amp;D Tags]],'Old List of R&amp;D Tags vs IDI'!H:H,1,FALSE), " ")</f>
        <v xml:space="preserve"> </v>
      </c>
    </row>
    <row r="305" spans="1:10" x14ac:dyDescent="0.25">
      <c r="A305" t="s">
        <v>1427</v>
      </c>
      <c r="B305" s="27" t="s">
        <v>384</v>
      </c>
      <c r="H305" s="50" t="s">
        <v>1514</v>
      </c>
      <c r="I305" s="44" t="s">
        <v>146</v>
      </c>
      <c r="J305" s="50" t="str">
        <f>IFERROR(VLOOKUP(Table358[[#This Row],[R&amp;D Tags]],'Old List of R&amp;D Tags vs IDI'!H:H,1,FALSE), " ")</f>
        <v xml:space="preserve"> </v>
      </c>
    </row>
    <row r="306" spans="1:10" x14ac:dyDescent="0.25">
      <c r="A306" t="s">
        <v>893</v>
      </c>
      <c r="B306" s="27" t="s">
        <v>380</v>
      </c>
      <c r="H306" s="50" t="s">
        <v>1516</v>
      </c>
      <c r="I306" s="44" t="s">
        <v>393</v>
      </c>
      <c r="J306" s="50" t="str">
        <f>IFERROR(VLOOKUP(Table358[[#This Row],[R&amp;D Tags]],'Old List of R&amp;D Tags vs IDI'!H:H,1,FALSE), " ")</f>
        <v xml:space="preserve"> </v>
      </c>
    </row>
    <row r="307" spans="1:10" x14ac:dyDescent="0.25">
      <c r="A307" t="s">
        <v>897</v>
      </c>
      <c r="B307" s="27" t="s">
        <v>1568</v>
      </c>
      <c r="H307" s="50" t="s">
        <v>1517</v>
      </c>
      <c r="I307" s="44" t="s">
        <v>397</v>
      </c>
      <c r="J307" s="50" t="str">
        <f>IFERROR(VLOOKUP(Table358[[#This Row],[R&amp;D Tags]],'Old List of R&amp;D Tags vs IDI'!H:H,1,FALSE), " ")</f>
        <v xml:space="preserve"> </v>
      </c>
    </row>
    <row r="308" spans="1:10" x14ac:dyDescent="0.25">
      <c r="A308" t="s">
        <v>901</v>
      </c>
      <c r="B308" s="27" t="s">
        <v>1569</v>
      </c>
      <c r="H308" s="50" t="s">
        <v>1518</v>
      </c>
      <c r="I308" s="44" t="s">
        <v>401</v>
      </c>
      <c r="J308" s="50" t="str">
        <f>IFERROR(VLOOKUP(Table358[[#This Row],[R&amp;D Tags]],'Old List of R&amp;D Tags vs IDI'!H:H,1,FALSE), " ")</f>
        <v xml:space="preserve"> </v>
      </c>
    </row>
    <row r="309" spans="1:10" x14ac:dyDescent="0.25">
      <c r="A309" t="s">
        <v>996</v>
      </c>
      <c r="B309" s="27" t="s">
        <v>457</v>
      </c>
      <c r="H309" s="50" t="s">
        <v>1520</v>
      </c>
      <c r="I309" s="44" t="s">
        <v>429</v>
      </c>
      <c r="J309" s="50" t="str">
        <f>IFERROR(VLOOKUP(Table358[[#This Row],[R&amp;D Tags]],'Old List of R&amp;D Tags vs IDI'!H:H,1,FALSE), " ")</f>
        <v xml:space="preserve"> </v>
      </c>
    </row>
    <row r="310" spans="1:10" x14ac:dyDescent="0.25">
      <c r="A310" t="s">
        <v>992</v>
      </c>
      <c r="B310" s="27" t="s">
        <v>473</v>
      </c>
      <c r="H310" s="50" t="s">
        <v>1521</v>
      </c>
      <c r="I310" s="44" t="s">
        <v>433</v>
      </c>
      <c r="J310" s="50" t="str">
        <f>IFERROR(VLOOKUP(Table358[[#This Row],[R&amp;D Tags]],'Old List of R&amp;D Tags vs IDI'!H:H,1,FALSE), " ")</f>
        <v xml:space="preserve"> </v>
      </c>
    </row>
    <row r="311" spans="1:10" x14ac:dyDescent="0.25">
      <c r="A311" t="s">
        <v>1000</v>
      </c>
      <c r="B311" s="27" t="s">
        <v>777</v>
      </c>
      <c r="H311" s="50" t="s">
        <v>1523</v>
      </c>
      <c r="I311" s="44" t="s">
        <v>441</v>
      </c>
      <c r="J311" s="50" t="str">
        <f>IFERROR(VLOOKUP(Table358[[#This Row],[R&amp;D Tags]],'Old List of R&amp;D Tags vs IDI'!H:H,1,FALSE), " ")</f>
        <v xml:space="preserve"> </v>
      </c>
    </row>
    <row r="312" spans="1:10" x14ac:dyDescent="0.25">
      <c r="A312" t="s">
        <v>980</v>
      </c>
      <c r="B312" s="27" t="s">
        <v>789</v>
      </c>
      <c r="H312" s="50" t="s">
        <v>1536</v>
      </c>
      <c r="I312" s="44" t="s">
        <v>481</v>
      </c>
      <c r="J312" s="50" t="str">
        <f>IFERROR(VLOOKUP(Table358[[#This Row],[R&amp;D Tags]],'Old List of R&amp;D Tags vs IDI'!H:H,1,FALSE), " ")</f>
        <v xml:space="preserve"> </v>
      </c>
    </row>
    <row r="313" spans="1:10" x14ac:dyDescent="0.25">
      <c r="A313" t="s">
        <v>984</v>
      </c>
      <c r="B313" s="27" t="s">
        <v>340</v>
      </c>
      <c r="H313" s="50" t="s">
        <v>1571</v>
      </c>
      <c r="I313" s="44" t="s">
        <v>625</v>
      </c>
      <c r="J313" s="50" t="str">
        <f>IFERROR(VLOOKUP(Table358[[#This Row],[R&amp;D Tags]],'Old List of R&amp;D Tags vs IDI'!H:H,1,FALSE), " ")</f>
        <v xml:space="preserve"> </v>
      </c>
    </row>
    <row r="314" spans="1:10" x14ac:dyDescent="0.25">
      <c r="A314" t="s">
        <v>938</v>
      </c>
      <c r="B314" s="27" t="s">
        <v>769</v>
      </c>
      <c r="H314" s="50" t="s">
        <v>1572</v>
      </c>
      <c r="I314" s="44" t="s">
        <v>629</v>
      </c>
      <c r="J314" s="50" t="str">
        <f>IFERROR(VLOOKUP(Table358[[#This Row],[R&amp;D Tags]],'Old List of R&amp;D Tags vs IDI'!H:H,1,FALSE), " ")</f>
        <v xml:space="preserve"> </v>
      </c>
    </row>
    <row r="315" spans="1:10" x14ac:dyDescent="0.25">
      <c r="A315" t="s">
        <v>946</v>
      </c>
      <c r="B315" s="27" t="s">
        <v>350</v>
      </c>
      <c r="H315" s="50" t="s">
        <v>1573</v>
      </c>
      <c r="I315" s="44" t="s">
        <v>633</v>
      </c>
      <c r="J315" s="50" t="str">
        <f>IFERROR(VLOOKUP(Table358[[#This Row],[R&amp;D Tags]],'Old List of R&amp;D Tags vs IDI'!H:H,1,FALSE), " ")</f>
        <v xml:space="preserve"> </v>
      </c>
    </row>
    <row r="316" spans="1:10" x14ac:dyDescent="0.25">
      <c r="A316" t="s">
        <v>988</v>
      </c>
      <c r="B316" s="27" t="s">
        <v>453</v>
      </c>
      <c r="H316" s="50" t="s">
        <v>1574</v>
      </c>
      <c r="I316" s="44" t="s">
        <v>637</v>
      </c>
      <c r="J316" s="50" t="str">
        <f>IFERROR(VLOOKUP(Table358[[#This Row],[R&amp;D Tags]],'Old List of R&amp;D Tags vs IDI'!H:H,1,FALSE), " ")</f>
        <v xml:space="preserve"> </v>
      </c>
    </row>
    <row r="317" spans="1:10" x14ac:dyDescent="0.25">
      <c r="A317" t="s">
        <v>1008</v>
      </c>
      <c r="B317" s="27" t="s">
        <v>781</v>
      </c>
      <c r="H317" s="50" t="s">
        <v>1575</v>
      </c>
      <c r="I317" s="44" t="s">
        <v>641</v>
      </c>
      <c r="J317" s="50" t="str">
        <f>IFERROR(VLOOKUP(Table358[[#This Row],[R&amp;D Tags]],'Old List of R&amp;D Tags vs IDI'!H:H,1,FALSE), " ")</f>
        <v xml:space="preserve"> </v>
      </c>
    </row>
    <row r="318" spans="1:10" x14ac:dyDescent="0.25">
      <c r="A318" t="s">
        <v>1012</v>
      </c>
      <c r="B318" s="27" t="s">
        <v>793</v>
      </c>
      <c r="H318" s="50" t="s">
        <v>1576</v>
      </c>
      <c r="I318" s="44" t="s">
        <v>645</v>
      </c>
      <c r="J318" s="50" t="str">
        <f>IFERROR(VLOOKUP(Table358[[#This Row],[R&amp;D Tags]],'Old List of R&amp;D Tags vs IDI'!H:H,1,FALSE), " ")</f>
        <v xml:space="preserve"> </v>
      </c>
    </row>
    <row r="319" spans="1:10" x14ac:dyDescent="0.25">
      <c r="A319" t="s">
        <v>1004</v>
      </c>
      <c r="B319" s="27" t="s">
        <v>809</v>
      </c>
      <c r="H319" s="50" t="s">
        <v>1577</v>
      </c>
      <c r="I319" s="44" t="s">
        <v>649</v>
      </c>
      <c r="J319" s="50" t="str">
        <f>IFERROR(VLOOKUP(Table358[[#This Row],[R&amp;D Tags]],'Old List of R&amp;D Tags vs IDI'!H:H,1,FALSE), " ")</f>
        <v xml:space="preserve"> </v>
      </c>
    </row>
    <row r="320" spans="1:10" x14ac:dyDescent="0.25">
      <c r="A320" t="s">
        <v>1016</v>
      </c>
      <c r="B320" s="27" t="s">
        <v>273</v>
      </c>
      <c r="H320" s="50" t="s">
        <v>1578</v>
      </c>
      <c r="I320" s="44" t="s">
        <v>653</v>
      </c>
      <c r="J320" s="50" t="str">
        <f>IFERROR(VLOOKUP(Table358[[#This Row],[R&amp;D Tags]],'Old List of R&amp;D Tags vs IDI'!H:H,1,FALSE), " ")</f>
        <v xml:space="preserve"> </v>
      </c>
    </row>
    <row r="321" spans="1:10" x14ac:dyDescent="0.25">
      <c r="A321" t="s">
        <v>1020</v>
      </c>
      <c r="B321" s="27" t="s">
        <v>286</v>
      </c>
      <c r="H321" s="50" t="s">
        <v>1584</v>
      </c>
      <c r="I321" s="44" t="s">
        <v>697</v>
      </c>
      <c r="J321" s="50" t="str">
        <f>IFERROR(VLOOKUP(Table358[[#This Row],[R&amp;D Tags]],'Old List of R&amp;D Tags vs IDI'!H:H,1,FALSE), " ")</f>
        <v xml:space="preserve"> </v>
      </c>
    </row>
    <row r="322" spans="1:10" x14ac:dyDescent="0.25">
      <c r="A322" t="s">
        <v>1028</v>
      </c>
      <c r="B322" s="27" t="s">
        <v>449</v>
      </c>
      <c r="H322" s="50" t="s">
        <v>1614</v>
      </c>
      <c r="I322" s="44" t="s">
        <v>817</v>
      </c>
      <c r="J322" s="50" t="str">
        <f>IFERROR(VLOOKUP(Table358[[#This Row],[R&amp;D Tags]],'Old List of R&amp;D Tags vs IDI'!H:H,1,FALSE), " ")</f>
        <v xml:space="preserve"> </v>
      </c>
    </row>
    <row r="323" spans="1:10" x14ac:dyDescent="0.25">
      <c r="A323" t="s">
        <v>942</v>
      </c>
      <c r="B323" s="27" t="s">
        <v>785</v>
      </c>
      <c r="H323" s="50" t="s">
        <v>1615</v>
      </c>
      <c r="I323" s="44" t="s">
        <v>821</v>
      </c>
      <c r="J323" s="50" t="str">
        <f>IFERROR(VLOOKUP(Table358[[#This Row],[R&amp;D Tags]],'Old List of R&amp;D Tags vs IDI'!H:H,1,FALSE), " ")</f>
        <v xml:space="preserve"> </v>
      </c>
    </row>
    <row r="324" spans="1:10" x14ac:dyDescent="0.25">
      <c r="A324" t="s">
        <v>950</v>
      </c>
      <c r="B324" s="27" t="s">
        <v>801</v>
      </c>
      <c r="H324" s="50" t="s">
        <v>1653</v>
      </c>
      <c r="I324" s="44" t="s">
        <v>958</v>
      </c>
      <c r="J324" s="50" t="str">
        <f>IFERROR(VLOOKUP(Table358[[#This Row],[R&amp;D Tags]],'Old List of R&amp;D Tags vs IDI'!H:H,1,FALSE), " ")</f>
        <v xml:space="preserve"> </v>
      </c>
    </row>
    <row r="325" spans="1:10" x14ac:dyDescent="0.25">
      <c r="A325" t="s">
        <v>954</v>
      </c>
      <c r="B325" s="31" t="s">
        <v>345</v>
      </c>
      <c r="H325" s="50" t="s">
        <v>1654</v>
      </c>
      <c r="I325" s="44" t="s">
        <v>962</v>
      </c>
      <c r="J325" s="50" t="str">
        <f>IFERROR(VLOOKUP(Table358[[#This Row],[R&amp;D Tags]],'Old List of R&amp;D Tags vs IDI'!H:H,1,FALSE), " ")</f>
        <v xml:space="preserve"> </v>
      </c>
    </row>
    <row r="326" spans="1:10" x14ac:dyDescent="0.25">
      <c r="A326" t="s">
        <v>38</v>
      </c>
      <c r="B326" s="27" t="s">
        <v>1570</v>
      </c>
      <c r="H326" s="50" t="s">
        <v>1660</v>
      </c>
      <c r="I326" s="44" t="s">
        <v>958</v>
      </c>
      <c r="J326" s="50" t="str">
        <f>IFERROR(VLOOKUP(Table358[[#This Row],[R&amp;D Tags]],'Old List of R&amp;D Tags vs IDI'!H:H,1,FALSE), " ")</f>
        <v xml:space="preserve"> </v>
      </c>
    </row>
    <row r="327" spans="1:10" x14ac:dyDescent="0.25">
      <c r="A327" t="s">
        <v>80</v>
      </c>
      <c r="B327" s="27" t="s">
        <v>1571</v>
      </c>
      <c r="H327" s="50" t="s">
        <v>1661</v>
      </c>
      <c r="I327" s="44" t="s">
        <v>974</v>
      </c>
      <c r="J327" s="50" t="str">
        <f>IFERROR(VLOOKUP(Table358[[#This Row],[R&amp;D Tags]],'Old List of R&amp;D Tags vs IDI'!H:H,1,FALSE), " ")</f>
        <v xml:space="preserve"> </v>
      </c>
    </row>
    <row r="328" spans="1:10" x14ac:dyDescent="0.25">
      <c r="A328" t="s">
        <v>88</v>
      </c>
      <c r="B328" s="27" t="s">
        <v>103</v>
      </c>
      <c r="H328" s="50" t="s">
        <v>177</v>
      </c>
      <c r="I328" s="44" t="s">
        <v>1256</v>
      </c>
      <c r="J328" s="50" t="str">
        <f>IFERROR(VLOOKUP(Table358[[#This Row],[R&amp;D Tags]],'Old List of R&amp;D Tags vs IDI'!H:H,1,FALSE), " ")</f>
        <v xml:space="preserve"> </v>
      </c>
    </row>
    <row r="329" spans="1:10" x14ac:dyDescent="0.25">
      <c r="A329" t="s">
        <v>84</v>
      </c>
      <c r="B329" s="27" t="s">
        <v>107</v>
      </c>
      <c r="H329" s="50" t="s">
        <v>206</v>
      </c>
      <c r="I329" s="44" t="s">
        <v>1299</v>
      </c>
      <c r="J329" s="50" t="str">
        <f>IFERROR(VLOOKUP(Table358[[#This Row],[R&amp;D Tags]],'Old List of R&amp;D Tags vs IDI'!H:H,1,FALSE), " ")</f>
        <v xml:space="preserve"> </v>
      </c>
    </row>
    <row r="330" spans="1:10" x14ac:dyDescent="0.25">
      <c r="A330" t="s">
        <v>59</v>
      </c>
      <c r="B330" s="27" t="s">
        <v>111</v>
      </c>
      <c r="H330" s="50" t="s">
        <v>203</v>
      </c>
      <c r="I330" s="44" t="s">
        <v>1303</v>
      </c>
      <c r="J330" s="50" t="str">
        <f>IFERROR(VLOOKUP(Table358[[#This Row],[R&amp;D Tags]],'Old List of R&amp;D Tags vs IDI'!H:H,1,FALSE), " ")</f>
        <v xml:space="preserve"> </v>
      </c>
    </row>
    <row r="331" spans="1:10" x14ac:dyDescent="0.25">
      <c r="A331" t="s">
        <v>154</v>
      </c>
      <c r="B331" s="27" t="s">
        <v>1572</v>
      </c>
      <c r="H331" s="50" t="s">
        <v>221</v>
      </c>
      <c r="I331" s="44" t="s">
        <v>1347</v>
      </c>
      <c r="J331" s="50" t="str">
        <f>IFERROR(VLOOKUP(Table358[[#This Row],[R&amp;D Tags]],'Old List of R&amp;D Tags vs IDI'!H:H,1,FALSE), " ")</f>
        <v xml:space="preserve"> </v>
      </c>
    </row>
    <row r="332" spans="1:10" x14ac:dyDescent="0.25">
      <c r="A332" t="s">
        <v>77</v>
      </c>
      <c r="B332" s="27" t="s">
        <v>1573</v>
      </c>
      <c r="H332" s="50" t="s">
        <v>166</v>
      </c>
      <c r="I332" s="44" t="s">
        <v>1415</v>
      </c>
      <c r="J332" s="50" t="str">
        <f>IFERROR(VLOOKUP(Table358[[#This Row],[R&amp;D Tags]],'Old List of R&amp;D Tags vs IDI'!H:H,1,FALSE), " ")</f>
        <v xml:space="preserve"> </v>
      </c>
    </row>
    <row r="333" spans="1:10" x14ac:dyDescent="0.25">
      <c r="A333" t="s">
        <v>68</v>
      </c>
      <c r="B333" s="27" t="s">
        <v>116</v>
      </c>
      <c r="H333" s="50" t="s">
        <v>163</v>
      </c>
      <c r="I333" s="44" t="s">
        <v>1419</v>
      </c>
      <c r="J333" s="50" t="str">
        <f>IFERROR(VLOOKUP(Table358[[#This Row],[R&amp;D Tags]],'Old List of R&amp;D Tags vs IDI'!H:H,1,FALSE), " ")</f>
        <v xml:space="preserve"> </v>
      </c>
    </row>
    <row r="334" spans="1:10" x14ac:dyDescent="0.25">
      <c r="A334" t="s">
        <v>441</v>
      </c>
      <c r="B334" s="27" t="s">
        <v>118</v>
      </c>
      <c r="H334" s="50" t="s">
        <v>134</v>
      </c>
      <c r="I334" s="44" t="s">
        <v>1423</v>
      </c>
      <c r="J334" s="50" t="str">
        <f>IFERROR(VLOOKUP(Table358[[#This Row],[R&amp;D Tags]],'Old List of R&amp;D Tags vs IDI'!H:H,1,FALSE), " ")</f>
        <v xml:space="preserve"> </v>
      </c>
    </row>
    <row r="335" spans="1:10" x14ac:dyDescent="0.25">
      <c r="A335" t="s">
        <v>51</v>
      </c>
      <c r="B335" s="27" t="s">
        <v>93</v>
      </c>
      <c r="H335" s="50" t="s">
        <v>134</v>
      </c>
      <c r="I335" s="44" t="s">
        <v>1427</v>
      </c>
      <c r="J335" s="50" t="str">
        <f>IFERROR(VLOOKUP(Table358[[#This Row],[R&amp;D Tags]],'Old List of R&amp;D Tags vs IDI'!H:H,1,FALSE), " ")</f>
        <v xml:space="preserve"> </v>
      </c>
    </row>
    <row r="336" spans="1:10" x14ac:dyDescent="0.25">
      <c r="A336" t="s">
        <v>1240</v>
      </c>
      <c r="B336" s="27" t="s">
        <v>98</v>
      </c>
      <c r="H336" s="50" t="s">
        <v>143</v>
      </c>
      <c r="I336" s="44" t="s">
        <v>1429</v>
      </c>
      <c r="J336" s="50" t="str">
        <f>IFERROR(VLOOKUP(Table358[[#This Row],[R&amp;D Tags]],'Old List of R&amp;D Tags vs IDI'!H:H,1,FALSE), " ")</f>
        <v xml:space="preserve"> </v>
      </c>
    </row>
    <row r="337" spans="1:10" x14ac:dyDescent="0.25">
      <c r="A337" t="s">
        <v>331</v>
      </c>
      <c r="B337" s="27" t="s">
        <v>120</v>
      </c>
      <c r="H337" s="50" t="s">
        <v>157</v>
      </c>
      <c r="I337" s="44" t="s">
        <v>1445</v>
      </c>
      <c r="J337" s="50" t="str">
        <f>IFERROR(VLOOKUP(Table358[[#This Row],[R&amp;D Tags]],'Old List of R&amp;D Tags vs IDI'!H:H,1,FALSE), " ")</f>
        <v xml:space="preserve"> </v>
      </c>
    </row>
    <row r="338" spans="1:10" x14ac:dyDescent="0.25">
      <c r="A338" t="s">
        <v>1391</v>
      </c>
      <c r="B338" s="27" t="s">
        <v>124</v>
      </c>
      <c r="H338" s="50" t="s">
        <v>160</v>
      </c>
      <c r="J338" s="50" t="str">
        <f>IFERROR(VLOOKUP(Table358[[#This Row],[R&amp;D Tags]],'Old List of R&amp;D Tags vs IDI'!H:H,1,FALSE), " ")</f>
        <v xml:space="preserve"> </v>
      </c>
    </row>
    <row r="339" spans="1:10" x14ac:dyDescent="0.25">
      <c r="A339" t="s">
        <v>481</v>
      </c>
      <c r="B339" s="31" t="s">
        <v>1574</v>
      </c>
      <c r="H339" s="50" t="s">
        <v>38</v>
      </c>
      <c r="J339" s="50" t="str">
        <f>IFERROR(VLOOKUP(Table358[[#This Row],[R&amp;D Tags]],'Old List of R&amp;D Tags vs IDI'!H:H,1,FALSE), " ")</f>
        <v xml:space="preserve"> </v>
      </c>
    </row>
    <row r="340" spans="1:10" x14ac:dyDescent="0.25">
      <c r="A340" t="s">
        <v>1395</v>
      </c>
      <c r="B340" s="27" t="s">
        <v>1575</v>
      </c>
      <c r="H340" s="50" t="s">
        <v>9</v>
      </c>
      <c r="J340" s="50" t="str">
        <f>IFERROR(VLOOKUP(Table358[[#This Row],[R&amp;D Tags]],'Old List of R&amp;D Tags vs IDI'!H:H,1,FALSE), " ")</f>
        <v xml:space="preserve"> </v>
      </c>
    </row>
    <row r="341" spans="1:10" x14ac:dyDescent="0.25">
      <c r="A341" t="s">
        <v>1403</v>
      </c>
      <c r="B341" s="27" t="s">
        <v>1576</v>
      </c>
      <c r="H341" s="50" t="s">
        <v>1456</v>
      </c>
      <c r="I341" s="44" t="s">
        <v>1726</v>
      </c>
      <c r="J341" s="50" t="str">
        <f>IFERROR(VLOOKUP(Table358[[#This Row],[R&amp;D Tags]],'Old List of R&amp;D Tags vs IDI'!H:H,1,FALSE), " ")</f>
        <v xml:space="preserve"> </v>
      </c>
    </row>
    <row r="342" spans="1:10" x14ac:dyDescent="0.25">
      <c r="A342" t="s">
        <v>1399</v>
      </c>
      <c r="B342" s="27" t="s">
        <v>1577</v>
      </c>
      <c r="H342" s="50" t="s">
        <v>1458</v>
      </c>
      <c r="I342" s="44" t="s">
        <v>29</v>
      </c>
      <c r="J342" s="50" t="str">
        <f>IFERROR(VLOOKUP(Table358[[#This Row],[R&amp;D Tags]],'Old List of R&amp;D Tags vs IDI'!H:H,1,FALSE), " ")</f>
        <v xml:space="preserve"> </v>
      </c>
    </row>
    <row r="343" spans="1:10" x14ac:dyDescent="0.25">
      <c r="A343" t="s">
        <v>805</v>
      </c>
      <c r="B343" s="27" t="s">
        <v>499</v>
      </c>
      <c r="H343" s="50" t="s">
        <v>1539</v>
      </c>
      <c r="I343" s="44" t="s">
        <v>494</v>
      </c>
      <c r="J343" s="50" t="str">
        <f>IFERROR(VLOOKUP(Table358[[#This Row],[R&amp;D Tags]],'Old List of R&amp;D Tags vs IDI'!H:H,1,FALSE), " ")</f>
        <v xml:space="preserve"> </v>
      </c>
    </row>
    <row r="344" spans="1:10" x14ac:dyDescent="0.25">
      <c r="A344" t="s">
        <v>336</v>
      </c>
      <c r="B344" s="27" t="s">
        <v>1578</v>
      </c>
      <c r="H344" s="50" t="s">
        <v>1165</v>
      </c>
      <c r="I344" s="44" t="s">
        <v>1379</v>
      </c>
      <c r="J344" s="50" t="str">
        <f>IFERROR(VLOOKUP(Table358[[#This Row],[R&amp;D Tags]],'Old List of R&amp;D Tags vs IDI'!H:H,1,FALSE), " ")</f>
        <v xml:space="preserve"> </v>
      </c>
    </row>
    <row r="345" spans="1:10" x14ac:dyDescent="0.25">
      <c r="A345" t="s">
        <v>773</v>
      </c>
      <c r="B345" s="27" t="s">
        <v>503</v>
      </c>
      <c r="H345" s="50" t="s">
        <v>1193</v>
      </c>
      <c r="I345" s="44" t="s">
        <v>1383</v>
      </c>
      <c r="J345" s="50" t="str">
        <f>IFERROR(VLOOKUP(Table358[[#This Row],[R&amp;D Tags]],'Old List of R&amp;D Tags vs IDI'!H:H,1,FALSE), " ")</f>
        <v xml:space="preserve"> </v>
      </c>
    </row>
    <row r="346" spans="1:10" x14ac:dyDescent="0.25">
      <c r="A346" t="s">
        <v>797</v>
      </c>
      <c r="B346" s="27" t="s">
        <v>1579</v>
      </c>
      <c r="H346" s="50" t="s">
        <v>1197</v>
      </c>
      <c r="I346" s="44" t="s">
        <v>1391</v>
      </c>
      <c r="J346" s="50" t="str">
        <f>IFERROR(VLOOKUP(Table358[[#This Row],[R&amp;D Tags]],'Old List of R&amp;D Tags vs IDI'!H:H,1,FALSE), " ")</f>
        <v xml:space="preserve"> </v>
      </c>
    </row>
    <row r="347" spans="1:10" x14ac:dyDescent="0.25">
      <c r="A347" t="s">
        <v>813</v>
      </c>
      <c r="B347" s="27" t="s">
        <v>1579</v>
      </c>
      <c r="H347" s="50" t="s">
        <v>1197</v>
      </c>
      <c r="I347" s="44" t="s">
        <v>1395</v>
      </c>
      <c r="J347" s="50" t="str">
        <f>IFERROR(VLOOKUP(Table358[[#This Row],[R&amp;D Tags]],'Old List of R&amp;D Tags vs IDI'!H:H,1,FALSE), " ")</f>
        <v xml:space="preserve"> </v>
      </c>
    </row>
    <row r="348" spans="1:10" x14ac:dyDescent="0.25">
      <c r="A348" t="s">
        <v>359</v>
      </c>
      <c r="B348" s="27" t="s">
        <v>486</v>
      </c>
      <c r="H348" s="50" t="s">
        <v>1197</v>
      </c>
      <c r="I348" s="44" t="s">
        <v>1399</v>
      </c>
      <c r="J348" s="50" t="str">
        <f>IFERROR(VLOOKUP(Table358[[#This Row],[R&amp;D Tags]],'Old List of R&amp;D Tags vs IDI'!H:H,1,FALSE), " ")</f>
        <v xml:space="preserve"> </v>
      </c>
    </row>
    <row r="349" spans="1:10" x14ac:dyDescent="0.25">
      <c r="A349" t="s">
        <v>355</v>
      </c>
      <c r="B349" s="27" t="s">
        <v>1580</v>
      </c>
      <c r="H349" s="50" t="s">
        <v>1216</v>
      </c>
      <c r="I349" s="44" t="s">
        <v>1403</v>
      </c>
      <c r="J349" s="50" t="str">
        <f>IFERROR(VLOOKUP(Table358[[#This Row],[R&amp;D Tags]],'Old List of R&amp;D Tags vs IDI'!H:H,1,FALSE), " ")</f>
        <v xml:space="preserve"> </v>
      </c>
    </row>
    <row r="350" spans="1:10" x14ac:dyDescent="0.25">
      <c r="A350" t="s">
        <v>889</v>
      </c>
      <c r="B350" s="27" t="s">
        <v>519</v>
      </c>
      <c r="H350" s="50" t="s">
        <v>169</v>
      </c>
      <c r="I350" s="44" t="s">
        <v>1411</v>
      </c>
      <c r="J350" s="50" t="str">
        <f>IFERROR(VLOOKUP(Table358[[#This Row],[R&amp;D Tags]],'Old List of R&amp;D Tags vs IDI'!H:H,1,FALSE), " ")</f>
        <v xml:space="preserve"> </v>
      </c>
    </row>
    <row r="351" spans="1:10" x14ac:dyDescent="0.25">
      <c r="A351" t="s">
        <v>1046</v>
      </c>
      <c r="B351" s="27" t="s">
        <v>1581</v>
      </c>
      <c r="H351" s="50" t="s">
        <v>1079</v>
      </c>
      <c r="I351" s="44" t="s">
        <v>1433</v>
      </c>
      <c r="J351" s="50" t="str">
        <f>IFERROR(VLOOKUP(Table358[[#This Row],[R&amp;D Tags]],'Old List of R&amp;D Tags vs IDI'!H:H,1,FALSE), " ")</f>
        <v xml:space="preserve"> </v>
      </c>
    </row>
    <row r="352" spans="1:10" x14ac:dyDescent="0.25">
      <c r="A352" t="s">
        <v>970</v>
      </c>
      <c r="B352" s="27" t="s">
        <v>523</v>
      </c>
      <c r="H352" s="50" t="s">
        <v>1091</v>
      </c>
      <c r="I352" s="44" t="s">
        <v>1437</v>
      </c>
      <c r="J352" s="50" t="str">
        <f>IFERROR(VLOOKUP(Table358[[#This Row],[R&amp;D Tags]],'Old List of R&amp;D Tags vs IDI'!H:H,1,FALSE), " ")</f>
        <v xml:space="preserve"> </v>
      </c>
    </row>
    <row r="353" spans="1:10" x14ac:dyDescent="0.25">
      <c r="A353" t="s">
        <v>976</v>
      </c>
      <c r="B353" s="13" t="s">
        <v>1582</v>
      </c>
      <c r="H353" s="50" t="s">
        <v>1161</v>
      </c>
      <c r="I353" s="44" t="s">
        <v>1441</v>
      </c>
      <c r="J353" s="50" t="str">
        <f>IFERROR(VLOOKUP(Table358[[#This Row],[R&amp;D Tags]],'Old List of R&amp;D Tags vs IDI'!H:H,1,FALSE), " ")</f>
        <v xml:space="preserve"> </v>
      </c>
    </row>
    <row r="354" spans="1:10" x14ac:dyDescent="0.25">
      <c r="A354" t="s">
        <v>966</v>
      </c>
      <c r="B354" s="13" t="s">
        <v>507</v>
      </c>
      <c r="H354" s="50" t="s">
        <v>1083</v>
      </c>
      <c r="J354" s="50" t="str">
        <f>IFERROR(VLOOKUP(Table358[[#This Row],[R&amp;D Tags]],'Old List of R&amp;D Tags vs IDI'!H:H,1,FALSE), " ")</f>
        <v xml:space="preserve"> </v>
      </c>
    </row>
    <row r="355" spans="1:10" x14ac:dyDescent="0.25">
      <c r="A355" t="s">
        <v>73</v>
      </c>
      <c r="B355" s="13" t="s">
        <v>568</v>
      </c>
      <c r="H355" s="50" t="s">
        <v>1099</v>
      </c>
      <c r="J355" s="50" t="str">
        <f>IFERROR(VLOOKUP(Table358[[#This Row],[R&amp;D Tags]],'Old List of R&amp;D Tags vs IDI'!H:H,1,FALSE), " ")</f>
        <v xml:space="preserve"> </v>
      </c>
    </row>
    <row r="356" spans="1:10" x14ac:dyDescent="0.25">
      <c r="A356" t="s">
        <v>753</v>
      </c>
      <c r="B356" s="13" t="s">
        <v>593</v>
      </c>
      <c r="H356" s="50" t="s">
        <v>1103</v>
      </c>
      <c r="J356" s="50" t="str">
        <f>IFERROR(VLOOKUP(Table358[[#This Row],[R&amp;D Tags]],'Old List of R&amp;D Tags vs IDI'!H:H,1,FALSE), " ")</f>
        <v xml:space="preserve"> </v>
      </c>
    </row>
    <row r="357" spans="1:10" x14ac:dyDescent="0.25">
      <c r="A357" t="s">
        <v>64</v>
      </c>
      <c r="B357" s="21" t="s">
        <v>1583</v>
      </c>
      <c r="H357" s="50" t="s">
        <v>1111</v>
      </c>
      <c r="J357" s="50" t="str">
        <f>IFERROR(VLOOKUP(Table358[[#This Row],[R&amp;D Tags]],'Old List of R&amp;D Tags vs IDI'!H:H,1,FALSE), " ")</f>
        <v xml:space="preserve"> </v>
      </c>
    </row>
    <row r="358" spans="1:10" x14ac:dyDescent="0.25">
      <c r="A358" t="s">
        <v>25</v>
      </c>
      <c r="B358" s="13" t="s">
        <v>539</v>
      </c>
      <c r="H358" s="50" t="s">
        <v>1107</v>
      </c>
      <c r="J358" s="50" t="str">
        <f>IFERROR(VLOOKUP(Table358[[#This Row],[R&amp;D Tags]],'Old List of R&amp;D Tags vs IDI'!H:H,1,FALSE), " ")</f>
        <v xml:space="preserve"> </v>
      </c>
    </row>
    <row r="359" spans="1:10" x14ac:dyDescent="0.25">
      <c r="A359" t="s">
        <v>29</v>
      </c>
      <c r="B359" s="13" t="s">
        <v>1584</v>
      </c>
      <c r="H359" s="50" t="s">
        <v>1127</v>
      </c>
      <c r="J359" s="50" t="str">
        <f>IFERROR(VLOOKUP(Table358[[#This Row],[R&amp;D Tags]],'Old List of R&amp;D Tags vs IDI'!H:H,1,FALSE), " ")</f>
        <v xml:space="preserve"> </v>
      </c>
    </row>
    <row r="360" spans="1:10" x14ac:dyDescent="0.25">
      <c r="A360" t="s">
        <v>17</v>
      </c>
      <c r="B360" s="13" t="s">
        <v>543</v>
      </c>
      <c r="H360" s="50" t="s">
        <v>1123</v>
      </c>
      <c r="J360" s="50" t="str">
        <f>IFERROR(VLOOKUP(Table358[[#This Row],[R&amp;D Tags]],'Old List of R&amp;D Tags vs IDI'!H:H,1,FALSE), " ")</f>
        <v xml:space="preserve"> </v>
      </c>
    </row>
    <row r="361" spans="1:10" x14ac:dyDescent="0.25">
      <c r="A361" t="s">
        <v>21</v>
      </c>
      <c r="B361" s="13" t="s">
        <v>527</v>
      </c>
      <c r="H361" s="50" t="s">
        <v>34</v>
      </c>
      <c r="J361" s="50" t="str">
        <f>IFERROR(VLOOKUP(Table358[[#This Row],[R&amp;D Tags]],'Old List of R&amp;D Tags vs IDI'!H:H,1,FALSE), " ")</f>
        <v xml:space="preserve"> </v>
      </c>
    </row>
    <row r="362" spans="1:10" x14ac:dyDescent="0.25">
      <c r="A362" t="s">
        <v>409</v>
      </c>
      <c r="B362" s="13" t="s">
        <v>1585</v>
      </c>
      <c r="H362" s="50" t="s">
        <v>1189</v>
      </c>
      <c r="J362" s="50" t="str">
        <f>IFERROR(VLOOKUP(Table358[[#This Row],[R&amp;D Tags]],'Old List of R&amp;D Tags vs IDI'!H:H,1,FALSE), " ")</f>
        <v xml:space="preserve"> </v>
      </c>
    </row>
    <row r="363" spans="1:10" x14ac:dyDescent="0.25">
      <c r="A363" t="s">
        <v>9</v>
      </c>
      <c r="B363" s="13" t="s">
        <v>490</v>
      </c>
      <c r="H363" s="50" t="s">
        <v>1153</v>
      </c>
      <c r="J363" s="50" t="str">
        <f>IFERROR(VLOOKUP(Table358[[#This Row],[R&amp;D Tags]],'Old List of R&amp;D Tags vs IDI'!H:H,1,FALSE), " ")</f>
        <v xml:space="preserve"> </v>
      </c>
    </row>
    <row r="364" spans="1:10" x14ac:dyDescent="0.25">
      <c r="A364" t="s">
        <v>55</v>
      </c>
      <c r="B364" s="13" t="s">
        <v>515</v>
      </c>
      <c r="H364" s="50" t="s">
        <v>1143</v>
      </c>
      <c r="J364" s="50" t="str">
        <f>IFERROR(VLOOKUP(Table358[[#This Row],[R&amp;D Tags]],'Old List of R&amp;D Tags vs IDI'!H:H,1,FALSE), " ")</f>
        <v xml:space="preserve"> </v>
      </c>
    </row>
    <row r="365" spans="1:10" x14ac:dyDescent="0.25">
      <c r="A365" t="s">
        <v>47</v>
      </c>
      <c r="B365" s="13" t="s">
        <v>511</v>
      </c>
      <c r="H365" s="50" t="s">
        <v>1135</v>
      </c>
      <c r="J365" s="50" t="str">
        <f>IFERROR(VLOOKUP(Table358[[#This Row],[R&amp;D Tags]],'Old List of R&amp;D Tags vs IDI'!H:H,1,FALSE), " ")</f>
        <v xml:space="preserve"> </v>
      </c>
    </row>
    <row r="366" spans="1:10" x14ac:dyDescent="0.25">
      <c r="A366" t="s">
        <v>397</v>
      </c>
      <c r="B366" s="13" t="s">
        <v>564</v>
      </c>
      <c r="H366" s="50" t="s">
        <v>1131</v>
      </c>
      <c r="J366" s="50" t="str">
        <f>IFERROR(VLOOKUP(Table358[[#This Row],[R&amp;D Tags]],'Old List of R&amp;D Tags vs IDI'!H:H,1,FALSE), " ")</f>
        <v xml:space="preserve"> </v>
      </c>
    </row>
    <row r="367" spans="1:10" x14ac:dyDescent="0.25">
      <c r="A367" t="s">
        <v>393</v>
      </c>
      <c r="B367" s="13" t="s">
        <v>535</v>
      </c>
      <c r="H367" s="50" t="s">
        <v>1087</v>
      </c>
      <c r="J367" s="50" t="str">
        <f>IFERROR(VLOOKUP(Table358[[#This Row],[R&amp;D Tags]],'Old List of R&amp;D Tags vs IDI'!H:H,1,FALSE), " ")</f>
        <v xml:space="preserve"> </v>
      </c>
    </row>
    <row r="368" spans="1:10" x14ac:dyDescent="0.25">
      <c r="B368" s="13" t="s">
        <v>585</v>
      </c>
      <c r="H368" s="50" t="s">
        <v>1095</v>
      </c>
      <c r="J368" s="50" t="str">
        <f>IFERROR(VLOOKUP(Table358[[#This Row],[R&amp;D Tags]],'Old List of R&amp;D Tags vs IDI'!H:H,1,FALSE), " ")</f>
        <v xml:space="preserve"> </v>
      </c>
    </row>
    <row r="369" spans="2:10" x14ac:dyDescent="0.25">
      <c r="B369" s="13" t="s">
        <v>580</v>
      </c>
      <c r="H369" s="50" t="s">
        <v>1055</v>
      </c>
      <c r="J369" s="50" t="str">
        <f>IFERROR(VLOOKUP(Table358[[#This Row],[R&amp;D Tags]],'Old List of R&amp;D Tags vs IDI'!H:H,1,FALSE), " ")</f>
        <v xml:space="preserve"> </v>
      </c>
    </row>
    <row r="370" spans="2:10" x14ac:dyDescent="0.25">
      <c r="B370" s="13" t="s">
        <v>597</v>
      </c>
      <c r="H370" s="50" t="s">
        <v>1063</v>
      </c>
      <c r="J370" s="50" t="str">
        <f>IFERROR(VLOOKUP(Table358[[#This Row],[R&amp;D Tags]],'Old List of R&amp;D Tags vs IDI'!H:H,1,FALSE), " ")</f>
        <v xml:space="preserve"> </v>
      </c>
    </row>
    <row r="371" spans="2:10" x14ac:dyDescent="0.25">
      <c r="B371" s="13" t="s">
        <v>555</v>
      </c>
      <c r="H371" s="50" t="s">
        <v>1071</v>
      </c>
      <c r="J371" s="50" t="str">
        <f>IFERROR(VLOOKUP(Table358[[#This Row],[R&amp;D Tags]],'Old List of R&amp;D Tags vs IDI'!H:H,1,FALSE), " ")</f>
        <v xml:space="preserve"> </v>
      </c>
    </row>
    <row r="372" spans="2:10" x14ac:dyDescent="0.25">
      <c r="B372" s="13" t="s">
        <v>551</v>
      </c>
      <c r="H372" s="50" t="s">
        <v>1119</v>
      </c>
      <c r="J372" s="50" t="str">
        <f>IFERROR(VLOOKUP(Table358[[#This Row],[R&amp;D Tags]],'Old List of R&amp;D Tags vs IDI'!H:H,1,FALSE), " ")</f>
        <v xml:space="preserve"> </v>
      </c>
    </row>
    <row r="373" spans="2:10" x14ac:dyDescent="0.25">
      <c r="B373" s="13" t="s">
        <v>572</v>
      </c>
      <c r="H373" s="50" t="s">
        <v>1181</v>
      </c>
      <c r="J373" s="50" t="str">
        <f>IFERROR(VLOOKUP(Table358[[#This Row],[R&amp;D Tags]],'Old List of R&amp;D Tags vs IDI'!H:H,1,FALSE), " ")</f>
        <v xml:space="preserve"> </v>
      </c>
    </row>
    <row r="374" spans="2:10" x14ac:dyDescent="0.25">
      <c r="B374" s="13" t="s">
        <v>547</v>
      </c>
      <c r="H374" s="50" t="s">
        <v>1139</v>
      </c>
      <c r="J374" s="50" t="str">
        <f>IFERROR(VLOOKUP(Table358[[#This Row],[R&amp;D Tags]],'Old List of R&amp;D Tags vs IDI'!H:H,1,FALSE), " ")</f>
        <v xml:space="preserve"> </v>
      </c>
    </row>
    <row r="375" spans="2:10" x14ac:dyDescent="0.25">
      <c r="B375" s="23" t="s">
        <v>1587</v>
      </c>
      <c r="H375" s="50" t="s">
        <v>1169</v>
      </c>
      <c r="J375" s="50" t="str">
        <f>IFERROR(VLOOKUP(Table358[[#This Row],[R&amp;D Tags]],'Old List of R&amp;D Tags vs IDI'!H:H,1,FALSE), " ")</f>
        <v xml:space="preserve"> </v>
      </c>
    </row>
    <row r="376" spans="2:10" x14ac:dyDescent="0.25">
      <c r="B376" s="13" t="s">
        <v>531</v>
      </c>
      <c r="H376" s="50" t="s">
        <v>1075</v>
      </c>
      <c r="J376" s="50" t="str">
        <f>IFERROR(VLOOKUP(Table358[[#This Row],[R&amp;D Tags]],'Old List of R&amp;D Tags vs IDI'!H:H,1,FALSE), " ")</f>
        <v xml:space="preserve"> </v>
      </c>
    </row>
    <row r="377" spans="2:10" x14ac:dyDescent="0.25">
      <c r="B377" s="13" t="s">
        <v>560</v>
      </c>
      <c r="H377" s="50" t="s">
        <v>1059</v>
      </c>
      <c r="J377" s="50" t="str">
        <f>IFERROR(VLOOKUP(Table358[[#This Row],[R&amp;D Tags]],'Old List of R&amp;D Tags vs IDI'!H:H,1,FALSE), " ")</f>
        <v xml:space="preserve"> </v>
      </c>
    </row>
    <row r="378" spans="2:10" x14ac:dyDescent="0.25">
      <c r="B378" s="13" t="s">
        <v>576</v>
      </c>
      <c r="H378" s="50" t="s">
        <v>1067</v>
      </c>
      <c r="J378" s="50" t="str">
        <f>IFERROR(VLOOKUP(Table358[[#This Row],[R&amp;D Tags]],'Old List of R&amp;D Tags vs IDI'!H:H,1,FALSE), " ")</f>
        <v xml:space="preserve"> </v>
      </c>
    </row>
    <row r="379" spans="2:10" x14ac:dyDescent="0.25">
      <c r="B379" s="13" t="s">
        <v>589</v>
      </c>
      <c r="H379" s="50" t="s">
        <v>1115</v>
      </c>
      <c r="J379" s="50" t="str">
        <f>IFERROR(VLOOKUP(Table358[[#This Row],[R&amp;D Tags]],'Old List of R&amp;D Tags vs IDI'!H:H,1,FALSE), " ")</f>
        <v xml:space="preserve"> </v>
      </c>
    </row>
    <row r="380" spans="2:10" x14ac:dyDescent="0.25">
      <c r="B380" s="13" t="s">
        <v>934</v>
      </c>
      <c r="H380" s="50" t="s">
        <v>657</v>
      </c>
      <c r="J380" s="50" t="str">
        <f>IFERROR(VLOOKUP(Table358[[#This Row],[R&amp;D Tags]],'Old List of R&amp;D Tags vs IDI'!H:H,1,FALSE), " ")</f>
        <v xml:space="preserve"> </v>
      </c>
    </row>
    <row r="381" spans="2:10" x14ac:dyDescent="0.25">
      <c r="B381" s="13" t="s">
        <v>905</v>
      </c>
      <c r="H381" s="50" t="s">
        <v>1033</v>
      </c>
      <c r="J381" s="50" t="str">
        <f>IFERROR(VLOOKUP(Table358[[#This Row],[R&amp;D Tags]],'Old List of R&amp;D Tags vs IDI'!H:H,1,FALSE), " ")</f>
        <v xml:space="preserve"> </v>
      </c>
    </row>
    <row r="382" spans="2:10" x14ac:dyDescent="0.25">
      <c r="B382" s="19" t="s">
        <v>1588</v>
      </c>
      <c r="H382" s="50" t="s">
        <v>1033</v>
      </c>
      <c r="J382" s="50" t="str">
        <f>IFERROR(VLOOKUP(Table358[[#This Row],[R&amp;D Tags]],'Old List of R&amp;D Tags vs IDI'!H:H,1,FALSE), " ")</f>
        <v xml:space="preserve"> </v>
      </c>
    </row>
    <row r="383" spans="2:10" x14ac:dyDescent="0.25">
      <c r="B383" s="19" t="s">
        <v>1589</v>
      </c>
      <c r="H383" s="50" t="s">
        <v>1244</v>
      </c>
      <c r="J383" s="50" t="str">
        <f>IFERROR(VLOOKUP(Table358[[#This Row],[R&amp;D Tags]],'Old List of R&amp;D Tags vs IDI'!H:H,1,FALSE), " ")</f>
        <v xml:space="preserve"> </v>
      </c>
    </row>
    <row r="384" spans="2:10" x14ac:dyDescent="0.25">
      <c r="B384" s="13" t="s">
        <v>1590</v>
      </c>
      <c r="H384" s="50" t="s">
        <v>1233</v>
      </c>
      <c r="J384" s="50" t="str">
        <f>IFERROR(VLOOKUP(Table358[[#This Row],[R&amp;D Tags]],'Old List of R&amp;D Tags vs IDI'!H:H,1,FALSE), " ")</f>
        <v xml:space="preserve"> </v>
      </c>
    </row>
    <row r="385" spans="2:10" x14ac:dyDescent="0.25">
      <c r="B385" s="13" t="s">
        <v>1591</v>
      </c>
      <c r="H385" s="50" t="s">
        <v>1248</v>
      </c>
      <c r="J385" s="50" t="str">
        <f>IFERROR(VLOOKUP(Table358[[#This Row],[R&amp;D Tags]],'Old List of R&amp;D Tags vs IDI'!H:H,1,FALSE), " ")</f>
        <v xml:space="preserve"> </v>
      </c>
    </row>
    <row r="386" spans="2:10" x14ac:dyDescent="0.25">
      <c r="B386" s="13" t="s">
        <v>1592</v>
      </c>
      <c r="H386" s="50" t="s">
        <v>1252</v>
      </c>
      <c r="J386" s="50" t="str">
        <f>IFERROR(VLOOKUP(Table358[[#This Row],[R&amp;D Tags]],'Old List of R&amp;D Tags vs IDI'!H:H,1,FALSE), " ")</f>
        <v xml:space="preserve"> </v>
      </c>
    </row>
    <row r="387" spans="2:10" x14ac:dyDescent="0.25">
      <c r="B387" s="13" t="s">
        <v>661</v>
      </c>
      <c r="H387" s="50" t="s">
        <v>1229</v>
      </c>
      <c r="J387" s="50" t="str">
        <f>IFERROR(VLOOKUP(Table358[[#This Row],[R&amp;D Tags]],'Old List of R&amp;D Tags vs IDI'!H:H,1,FALSE), " ")</f>
        <v xml:space="preserve"> </v>
      </c>
    </row>
    <row r="388" spans="2:10" x14ac:dyDescent="0.25">
      <c r="B388" s="13" t="s">
        <v>661</v>
      </c>
      <c r="H388" s="50" t="s">
        <v>1213</v>
      </c>
      <c r="J388" s="50" t="str">
        <f>IFERROR(VLOOKUP(Table358[[#This Row],[R&amp;D Tags]],'Old List of R&amp;D Tags vs IDI'!H:H,1,FALSE), " ")</f>
        <v xml:space="preserve"> </v>
      </c>
    </row>
    <row r="389" spans="2:10" x14ac:dyDescent="0.25">
      <c r="B389" s="13" t="s">
        <v>921</v>
      </c>
      <c r="H389" s="50" t="s">
        <v>1220</v>
      </c>
      <c r="J389" s="50" t="str">
        <f>IFERROR(VLOOKUP(Table358[[#This Row],[R&amp;D Tags]],'Old List of R&amp;D Tags vs IDI'!H:H,1,FALSE), " ")</f>
        <v xml:space="preserve"> </v>
      </c>
    </row>
    <row r="390" spans="2:10" x14ac:dyDescent="0.25">
      <c r="B390" s="13" t="s">
        <v>1593</v>
      </c>
      <c r="H390" s="50" t="s">
        <v>1042</v>
      </c>
      <c r="J390" s="50" t="str">
        <f>IFERROR(VLOOKUP(Table358[[#This Row],[R&amp;D Tags]],'Old List of R&amp;D Tags vs IDI'!H:H,1,FALSE), " ")</f>
        <v xml:space="preserve"> </v>
      </c>
    </row>
    <row r="391" spans="2:10" x14ac:dyDescent="0.25">
      <c r="B391" s="13" t="s">
        <v>1594</v>
      </c>
      <c r="H391" s="50" t="s">
        <v>1051</v>
      </c>
      <c r="J391" s="50" t="str">
        <f>IFERROR(VLOOKUP(Table358[[#This Row],[R&amp;D Tags]],'Old List of R&amp;D Tags vs IDI'!H:H,1,FALSE), " ")</f>
        <v xml:space="preserve"> </v>
      </c>
    </row>
    <row r="392" spans="2:10" x14ac:dyDescent="0.25">
      <c r="B392" s="13" t="s">
        <v>869</v>
      </c>
      <c r="H392" s="50" t="s">
        <v>1185</v>
      </c>
      <c r="J392" s="50" t="str">
        <f>IFERROR(VLOOKUP(Table358[[#This Row],[R&amp;D Tags]],'Old List of R&amp;D Tags vs IDI'!H:H,1,FALSE), " ")</f>
        <v xml:space="preserve"> </v>
      </c>
    </row>
    <row r="393" spans="2:10" x14ac:dyDescent="0.25">
      <c r="B393" s="13" t="s">
        <v>873</v>
      </c>
      <c r="H393" s="50" t="s">
        <v>1177</v>
      </c>
      <c r="J393" s="50" t="str">
        <f>IFERROR(VLOOKUP(Table358[[#This Row],[R&amp;D Tags]],'Old List of R&amp;D Tags vs IDI'!H:H,1,FALSE), " ")</f>
        <v xml:space="preserve"> </v>
      </c>
    </row>
    <row r="394" spans="2:10" x14ac:dyDescent="0.25">
      <c r="B394" s="13" t="s">
        <v>1595</v>
      </c>
      <c r="H394" s="50" t="s">
        <v>42</v>
      </c>
      <c r="J394" s="50" t="str">
        <f>IFERROR(VLOOKUP(Table358[[#This Row],[R&amp;D Tags]],'Old List of R&amp;D Tags vs IDI'!H:H,1,FALSE), " ")</f>
        <v xml:space="preserve"> </v>
      </c>
    </row>
    <row r="395" spans="2:10" x14ac:dyDescent="0.25">
      <c r="B395" s="13" t="s">
        <v>1596</v>
      </c>
      <c r="H395" s="50" t="s">
        <v>1407</v>
      </c>
      <c r="J395" s="50" t="str">
        <f>IFERROR(VLOOKUP(Table358[[#This Row],[R&amp;D Tags]],'Old List of R&amp;D Tags vs IDI'!H:H,1,FALSE), " ")</f>
        <v xml:space="preserve"> </v>
      </c>
    </row>
    <row r="396" spans="2:10" x14ac:dyDescent="0.25">
      <c r="B396" s="13" t="s">
        <v>1597</v>
      </c>
      <c r="H396" s="50" t="s">
        <v>725</v>
      </c>
      <c r="J396" s="50" t="str">
        <f>IFERROR(VLOOKUP(Table358[[#This Row],[R&amp;D Tags]],'Old List of R&amp;D Tags vs IDI'!H:H,1,FALSE), " ")</f>
        <v xml:space="preserve"> </v>
      </c>
    </row>
    <row r="397" spans="2:10" x14ac:dyDescent="0.25">
      <c r="B397" s="13" t="s">
        <v>841</v>
      </c>
      <c r="H397" s="50" t="s">
        <v>721</v>
      </c>
      <c r="J397" s="50" t="str">
        <f>IFERROR(VLOOKUP(Table358[[#This Row],[R&amp;D Tags]],'Old List of R&amp;D Tags vs IDI'!H:H,1,FALSE), " ")</f>
        <v xml:space="preserve"> </v>
      </c>
    </row>
    <row r="398" spans="2:10" x14ac:dyDescent="0.25">
      <c r="B398" s="13" t="s">
        <v>845</v>
      </c>
      <c r="H398" s="50" t="s">
        <v>733</v>
      </c>
      <c r="J398" s="50" t="str">
        <f>IFERROR(VLOOKUP(Table358[[#This Row],[R&amp;D Tags]],'Old List of R&amp;D Tags vs IDI'!H:H,1,FALSE), " ")</f>
        <v xml:space="preserve"> </v>
      </c>
    </row>
    <row r="399" spans="2:10" x14ac:dyDescent="0.25">
      <c r="B399" s="13" t="s">
        <v>849</v>
      </c>
      <c r="H399" s="50" t="s">
        <v>745</v>
      </c>
      <c r="J399" s="50" t="str">
        <f>IFERROR(VLOOKUP(Table358[[#This Row],[R&amp;D Tags]],'Old List of R&amp;D Tags vs IDI'!H:H,1,FALSE), " ")</f>
        <v xml:space="preserve"> </v>
      </c>
    </row>
    <row r="400" spans="2:10" x14ac:dyDescent="0.25">
      <c r="B400" s="13" t="s">
        <v>1598</v>
      </c>
      <c r="H400" s="50" t="s">
        <v>749</v>
      </c>
      <c r="J400" s="50" t="str">
        <f>IFERROR(VLOOKUP(Table358[[#This Row],[R&amp;D Tags]],'Old List of R&amp;D Tags vs IDI'!H:H,1,FALSE), " ")</f>
        <v xml:space="preserve"> </v>
      </c>
    </row>
    <row r="401" spans="2:10" x14ac:dyDescent="0.25">
      <c r="B401" s="13" t="s">
        <v>1599</v>
      </c>
      <c r="H401" s="50" t="s">
        <v>310</v>
      </c>
      <c r="J401" s="50" t="str">
        <f>IFERROR(VLOOKUP(Table358[[#This Row],[R&amp;D Tags]],'Old List of R&amp;D Tags vs IDI'!H:H,1,FALSE), " ")</f>
        <v xml:space="preserve"> </v>
      </c>
    </row>
    <row r="402" spans="2:10" x14ac:dyDescent="0.25">
      <c r="B402" s="13" t="s">
        <v>1600</v>
      </c>
      <c r="H402" s="50" t="s">
        <v>322</v>
      </c>
      <c r="J402" s="50" t="str">
        <f>IFERROR(VLOOKUP(Table358[[#This Row],[R&amp;D Tags]],'Old List of R&amp;D Tags vs IDI'!H:H,1,FALSE), " ")</f>
        <v xml:space="preserve"> </v>
      </c>
    </row>
    <row r="403" spans="2:10" x14ac:dyDescent="0.25">
      <c r="B403" s="13" t="s">
        <v>1601</v>
      </c>
      <c r="H403" s="50" t="s">
        <v>685</v>
      </c>
      <c r="J403" s="50" t="str">
        <f>IFERROR(VLOOKUP(Table358[[#This Row],[R&amp;D Tags]],'Old List of R&amp;D Tags vs IDI'!H:H,1,FALSE), " ")</f>
        <v xml:space="preserve"> </v>
      </c>
    </row>
    <row r="404" spans="2:10" x14ac:dyDescent="0.25">
      <c r="B404" s="13" t="s">
        <v>853</v>
      </c>
      <c r="H404" s="50" t="s">
        <v>689</v>
      </c>
      <c r="J404" s="50" t="str">
        <f>IFERROR(VLOOKUP(Table358[[#This Row],[R&amp;D Tags]],'Old List of R&amp;D Tags vs IDI'!H:H,1,FALSE), " ")</f>
        <v xml:space="preserve"> </v>
      </c>
    </row>
    <row r="405" spans="2:10" x14ac:dyDescent="0.25">
      <c r="B405" s="13" t="s">
        <v>857</v>
      </c>
      <c r="H405" s="50" t="s">
        <v>689</v>
      </c>
      <c r="J405" s="50" t="str">
        <f>IFERROR(VLOOKUP(Table358[[#This Row],[R&amp;D Tags]],'Old List of R&amp;D Tags vs IDI'!H:H,1,FALSE), " ")</f>
        <v xml:space="preserve"> </v>
      </c>
    </row>
    <row r="406" spans="2:10" x14ac:dyDescent="0.25">
      <c r="B406" s="13" t="s">
        <v>861</v>
      </c>
      <c r="H406" s="50" t="s">
        <v>701</v>
      </c>
      <c r="J406" s="50" t="str">
        <f>IFERROR(VLOOKUP(Table358[[#This Row],[R&amp;D Tags]],'Old List of R&amp;D Tags vs IDI'!H:H,1,FALSE), " ")</f>
        <v xml:space="preserve"> </v>
      </c>
    </row>
    <row r="407" spans="2:10" x14ac:dyDescent="0.25">
      <c r="B407" s="13" t="s">
        <v>865</v>
      </c>
      <c r="H407" s="50" t="s">
        <v>713</v>
      </c>
      <c r="J407" s="50" t="str">
        <f>IFERROR(VLOOKUP(Table358[[#This Row],[R&amp;D Tags]],'Old List of R&amp;D Tags vs IDI'!H:H,1,FALSE), " ")</f>
        <v xml:space="preserve"> </v>
      </c>
    </row>
    <row r="408" spans="2:10" x14ac:dyDescent="0.25">
      <c r="B408" s="13" t="s">
        <v>1602</v>
      </c>
      <c r="H408" s="50" t="s">
        <v>709</v>
      </c>
      <c r="J408" s="50" t="str">
        <f>IFERROR(VLOOKUP(Table358[[#This Row],[R&amp;D Tags]],'Old List of R&amp;D Tags vs IDI'!H:H,1,FALSE), " ")</f>
        <v xml:space="preserve"> </v>
      </c>
    </row>
    <row r="409" spans="2:10" x14ac:dyDescent="0.25">
      <c r="B409" s="13" t="s">
        <v>909</v>
      </c>
      <c r="H409" s="50" t="s">
        <v>278</v>
      </c>
      <c r="J409" s="50" t="str">
        <f>IFERROR(VLOOKUP(Table358[[#This Row],[R&amp;D Tags]],'Old List of R&amp;D Tags vs IDI'!H:H,1,FALSE), " ")</f>
        <v xml:space="preserve"> </v>
      </c>
    </row>
    <row r="410" spans="2:10" x14ac:dyDescent="0.25">
      <c r="B410" s="19" t="s">
        <v>1603</v>
      </c>
      <c r="H410" s="50" t="s">
        <v>290</v>
      </c>
      <c r="J410" s="50" t="str">
        <f>IFERROR(VLOOKUP(Table358[[#This Row],[R&amp;D Tags]],'Old List of R&amp;D Tags vs IDI'!H:H,1,FALSE), " ")</f>
        <v xml:space="preserve"> </v>
      </c>
    </row>
    <row r="411" spans="2:10" x14ac:dyDescent="0.25">
      <c r="B411" s="19" t="s">
        <v>1604</v>
      </c>
      <c r="H411" s="50" t="s">
        <v>302</v>
      </c>
      <c r="J411" s="50" t="str">
        <f>IFERROR(VLOOKUP(Table358[[#This Row],[R&amp;D Tags]],'Old List of R&amp;D Tags vs IDI'!H:H,1,FALSE), " ")</f>
        <v xml:space="preserve"> </v>
      </c>
    </row>
    <row r="412" spans="2:10" x14ac:dyDescent="0.25">
      <c r="B412" s="19" t="s">
        <v>1605</v>
      </c>
      <c r="H412" s="50" t="s">
        <v>306</v>
      </c>
      <c r="J412" s="50" t="str">
        <f>IFERROR(VLOOKUP(Table358[[#This Row],[R&amp;D Tags]],'Old List of R&amp;D Tags vs IDI'!H:H,1,FALSE), " ")</f>
        <v xml:space="preserve"> </v>
      </c>
    </row>
    <row r="413" spans="2:10" x14ac:dyDescent="0.25">
      <c r="B413" s="13" t="s">
        <v>1606</v>
      </c>
      <c r="H413" s="50" t="s">
        <v>681</v>
      </c>
      <c r="J413" s="50" t="str">
        <f>IFERROR(VLOOKUP(Table358[[#This Row],[R&amp;D Tags]],'Old List of R&amp;D Tags vs IDI'!H:H,1,FALSE), " ")</f>
        <v xml:space="preserve"> </v>
      </c>
    </row>
    <row r="414" spans="2:10" x14ac:dyDescent="0.25">
      <c r="B414" s="13" t="s">
        <v>1607</v>
      </c>
      <c r="H414" s="50" t="s">
        <v>693</v>
      </c>
      <c r="J414" s="50" t="str">
        <f>IFERROR(VLOOKUP(Table358[[#This Row],[R&amp;D Tags]],'Old List of R&amp;D Tags vs IDI'!H:H,1,FALSE), " ")</f>
        <v xml:space="preserve"> </v>
      </c>
    </row>
    <row r="415" spans="2:10" x14ac:dyDescent="0.25">
      <c r="B415" s="13" t="s">
        <v>669</v>
      </c>
      <c r="H415" s="50" t="s">
        <v>705</v>
      </c>
      <c r="J415" s="50" t="str">
        <f>IFERROR(VLOOKUP(Table358[[#This Row],[R&amp;D Tags]],'Old List of R&amp;D Tags vs IDI'!H:H,1,FALSE), " ")</f>
        <v xml:space="preserve"> </v>
      </c>
    </row>
    <row r="416" spans="2:10" x14ac:dyDescent="0.25">
      <c r="B416" s="13" t="s">
        <v>669</v>
      </c>
      <c r="H416" s="50" t="s">
        <v>717</v>
      </c>
      <c r="J416" s="50" t="str">
        <f>IFERROR(VLOOKUP(Table358[[#This Row],[R&amp;D Tags]],'Old List of R&amp;D Tags vs IDI'!H:H,1,FALSE), " ")</f>
        <v xml:space="preserve"> </v>
      </c>
    </row>
    <row r="417" spans="2:10" x14ac:dyDescent="0.25">
      <c r="B417" s="13" t="s">
        <v>1608</v>
      </c>
      <c r="H417" s="50" t="s">
        <v>729</v>
      </c>
      <c r="J417" s="50" t="str">
        <f>IFERROR(VLOOKUP(Table358[[#This Row],[R&amp;D Tags]],'Old List of R&amp;D Tags vs IDI'!H:H,1,FALSE), " ")</f>
        <v xml:space="preserve"> </v>
      </c>
    </row>
    <row r="418" spans="2:10" x14ac:dyDescent="0.25">
      <c r="B418" s="13" t="s">
        <v>1609</v>
      </c>
      <c r="H418" s="50" t="s">
        <v>741</v>
      </c>
      <c r="J418" s="50" t="str">
        <f>IFERROR(VLOOKUP(Table358[[#This Row],[R&amp;D Tags]],'Old List of R&amp;D Tags vs IDI'!H:H,1,FALSE), " ")</f>
        <v xml:space="preserve"> </v>
      </c>
    </row>
    <row r="419" spans="2:10" x14ac:dyDescent="0.25">
      <c r="B419" s="13" t="s">
        <v>1024</v>
      </c>
      <c r="H419" s="50" t="s">
        <v>757</v>
      </c>
      <c r="J419" s="50" t="str">
        <f>IFERROR(VLOOKUP(Table358[[#This Row],[R&amp;D Tags]],'Old List of R&amp;D Tags vs IDI'!H:H,1,FALSE), " ")</f>
        <v xml:space="preserve"> </v>
      </c>
    </row>
    <row r="420" spans="2:10" x14ac:dyDescent="0.25">
      <c r="B420" s="13" t="s">
        <v>885</v>
      </c>
      <c r="H420" s="50" t="s">
        <v>282</v>
      </c>
      <c r="J420" s="50" t="str">
        <f>IFERROR(VLOOKUP(Table358[[#This Row],[R&amp;D Tags]],'Old List of R&amp;D Tags vs IDI'!H:H,1,FALSE), " ")</f>
        <v xml:space="preserve"> </v>
      </c>
    </row>
    <row r="421" spans="2:10" x14ac:dyDescent="0.25">
      <c r="B421" s="13" t="s">
        <v>1610</v>
      </c>
      <c r="H421" s="50" t="s">
        <v>298</v>
      </c>
      <c r="J421" s="50" t="str">
        <f>IFERROR(VLOOKUP(Table358[[#This Row],[R&amp;D Tags]],'Old List of R&amp;D Tags vs IDI'!H:H,1,FALSE), " ")</f>
        <v xml:space="preserve"> </v>
      </c>
    </row>
    <row r="422" spans="2:10" x14ac:dyDescent="0.25">
      <c r="B422" s="13" t="s">
        <v>1610</v>
      </c>
      <c r="H422" s="50" t="s">
        <v>294</v>
      </c>
      <c r="J422" s="50" t="str">
        <f>IFERROR(VLOOKUP(Table358[[#This Row],[R&amp;D Tags]],'Old List of R&amp;D Tags vs IDI'!H:H,1,FALSE), " ")</f>
        <v xml:space="preserve"> </v>
      </c>
    </row>
    <row r="423" spans="2:10" x14ac:dyDescent="0.25">
      <c r="B423" s="13" t="s">
        <v>925</v>
      </c>
      <c r="H423" s="50" t="s">
        <v>314</v>
      </c>
      <c r="J423" s="50" t="str">
        <f>IFERROR(VLOOKUP(Table358[[#This Row],[R&amp;D Tags]],'Old List of R&amp;D Tags vs IDI'!H:H,1,FALSE), " ")</f>
        <v xml:space="preserve"> </v>
      </c>
    </row>
    <row r="424" spans="2:10" x14ac:dyDescent="0.25">
      <c r="B424" s="13" t="s">
        <v>1611</v>
      </c>
      <c r="H424" s="50" t="s">
        <v>318</v>
      </c>
      <c r="J424" s="50" t="str">
        <f>IFERROR(VLOOKUP(Table358[[#This Row],[R&amp;D Tags]],'Old List of R&amp;D Tags vs IDI'!H:H,1,FALSE), " ")</f>
        <v xml:space="preserve"> </v>
      </c>
    </row>
    <row r="425" spans="2:10" x14ac:dyDescent="0.25">
      <c r="B425" s="13" t="s">
        <v>1612</v>
      </c>
      <c r="H425" s="50" t="s">
        <v>737</v>
      </c>
      <c r="J425" s="50" t="str">
        <f>IFERROR(VLOOKUP(Table358[[#This Row],[R&amp;D Tags]],'Old List of R&amp;D Tags vs IDI'!H:H,1,FALSE), " ")</f>
        <v xml:space="preserve"> </v>
      </c>
    </row>
    <row r="426" spans="2:10" x14ac:dyDescent="0.25">
      <c r="B426" s="19" t="s">
        <v>1613</v>
      </c>
      <c r="H426" s="50" t="s">
        <v>1037</v>
      </c>
      <c r="J426" s="50" t="str">
        <f>IFERROR(VLOOKUP(Table358[[#This Row],[R&amp;D Tags]],'Old List of R&amp;D Tags vs IDI'!H:H,1,FALSE), " ")</f>
        <v xml:space="preserve"> </v>
      </c>
    </row>
    <row r="427" spans="2:10" x14ac:dyDescent="0.25">
      <c r="B427" s="19" t="s">
        <v>1614</v>
      </c>
      <c r="H427" s="50" t="s">
        <v>914</v>
      </c>
      <c r="J427" s="50" t="str">
        <f>IFERROR(VLOOKUP(Table358[[#This Row],[R&amp;D Tags]],'Old List of R&amp;D Tags vs IDI'!H:H,1,FALSE), " ")</f>
        <v xml:space="preserve"> </v>
      </c>
    </row>
    <row r="428" spans="2:10" x14ac:dyDescent="0.25">
      <c r="B428" s="19" t="s">
        <v>1615</v>
      </c>
      <c r="H428" s="50" t="s">
        <v>918</v>
      </c>
      <c r="J428" s="50" t="str">
        <f>IFERROR(VLOOKUP(Table358[[#This Row],[R&amp;D Tags]],'Old List of R&amp;D Tags vs IDI'!H:H,1,FALSE), " ")</f>
        <v xml:space="preserve"> </v>
      </c>
    </row>
    <row r="429" spans="2:10" x14ac:dyDescent="0.25">
      <c r="B429" s="13" t="s">
        <v>1616</v>
      </c>
      <c r="H429" s="50" t="s">
        <v>916</v>
      </c>
      <c r="J429" s="50" t="str">
        <f>IFERROR(VLOOKUP(Table358[[#This Row],[R&amp;D Tags]],'Old List of R&amp;D Tags vs IDI'!H:H,1,FALSE), " ")</f>
        <v xml:space="preserve"> </v>
      </c>
    </row>
    <row r="430" spans="2:10" x14ac:dyDescent="0.25">
      <c r="B430" s="13" t="s">
        <v>1617</v>
      </c>
      <c r="H430" s="50" t="s">
        <v>421</v>
      </c>
      <c r="J430" s="50" t="str">
        <f>IFERROR(VLOOKUP(Table358[[#This Row],[R&amp;D Tags]],'Old List of R&amp;D Tags vs IDI'!H:H,1,FALSE), " ")</f>
        <v xml:space="preserve"> </v>
      </c>
    </row>
    <row r="431" spans="2:10" x14ac:dyDescent="0.25">
      <c r="B431" s="13" t="s">
        <v>1618</v>
      </c>
      <c r="H431" s="50" t="s">
        <v>413</v>
      </c>
      <c r="J431" s="50" t="str">
        <f>IFERROR(VLOOKUP(Table358[[#This Row],[R&amp;D Tags]],'Old List of R&amp;D Tags vs IDI'!H:H,1,FALSE), " ")</f>
        <v xml:space="preserve"> </v>
      </c>
    </row>
    <row r="432" spans="2:10" x14ac:dyDescent="0.25">
      <c r="B432" s="13" t="s">
        <v>1619</v>
      </c>
      <c r="H432" s="50" t="s">
        <v>437</v>
      </c>
      <c r="J432" s="50" t="str">
        <f>IFERROR(VLOOKUP(Table358[[#This Row],[R&amp;D Tags]],'Old List of R&amp;D Tags vs IDI'!H:H,1,FALSE), " ")</f>
        <v xml:space="preserve"> </v>
      </c>
    </row>
    <row r="433" spans="2:10" x14ac:dyDescent="0.25">
      <c r="B433" s="13" t="s">
        <v>673</v>
      </c>
      <c r="H433" s="50" t="s">
        <v>150</v>
      </c>
      <c r="J433" s="50" t="str">
        <f>IFERROR(VLOOKUP(Table358[[#This Row],[R&amp;D Tags]],'Old List of R&amp;D Tags vs IDI'!H:H,1,FALSE), " ")</f>
        <v xml:space="preserve"> </v>
      </c>
    </row>
    <row r="434" spans="2:10" x14ac:dyDescent="0.25">
      <c r="B434" s="13" t="s">
        <v>929</v>
      </c>
      <c r="H434" s="50" t="s">
        <v>150</v>
      </c>
      <c r="J434" s="50" t="str">
        <f>IFERROR(VLOOKUP(Table358[[#This Row],[R&amp;D Tags]],'Old List of R&amp;D Tags vs IDI'!H:H,1,FALSE), " ")</f>
        <v xml:space="preserve"> </v>
      </c>
    </row>
    <row r="435" spans="2:10" x14ac:dyDescent="0.25">
      <c r="B435" s="13" t="s">
        <v>1620</v>
      </c>
      <c r="H435" s="50" t="s">
        <v>425</v>
      </c>
      <c r="J435" s="50" t="str">
        <f>IFERROR(VLOOKUP(Table358[[#This Row],[R&amp;D Tags]],'Old List of R&amp;D Tags vs IDI'!H:H,1,FALSE), " ")</f>
        <v xml:space="preserve"> </v>
      </c>
    </row>
    <row r="436" spans="2:10" x14ac:dyDescent="0.25">
      <c r="B436" s="13" t="s">
        <v>1621</v>
      </c>
      <c r="H436" s="50" t="s">
        <v>417</v>
      </c>
      <c r="J436" s="50" t="str">
        <f>IFERROR(VLOOKUP(Table358[[#This Row],[R&amp;D Tags]],'Old List of R&amp;D Tags vs IDI'!H:H,1,FALSE), " ")</f>
        <v xml:space="preserve"> </v>
      </c>
    </row>
    <row r="437" spans="2:10" x14ac:dyDescent="0.25">
      <c r="B437" s="19" t="s">
        <v>1622</v>
      </c>
      <c r="H437" s="50" t="s">
        <v>605</v>
      </c>
      <c r="J437" s="50" t="str">
        <f>IFERROR(VLOOKUP(Table358[[#This Row],[R&amp;D Tags]],'Old List of R&amp;D Tags vs IDI'!H:H,1,FALSE), " ")</f>
        <v xml:space="preserve"> </v>
      </c>
    </row>
    <row r="438" spans="2:10" x14ac:dyDescent="0.25">
      <c r="B438" s="19" t="s">
        <v>1623</v>
      </c>
      <c r="H438" s="50" t="s">
        <v>617</v>
      </c>
      <c r="J438" s="50" t="str">
        <f>IFERROR(VLOOKUP(Table358[[#This Row],[R&amp;D Tags]],'Old List of R&amp;D Tags vs IDI'!H:H,1,FALSE), " ")</f>
        <v xml:space="preserve"> </v>
      </c>
    </row>
    <row r="439" spans="2:10" x14ac:dyDescent="0.25">
      <c r="B439" s="19" t="s">
        <v>1624</v>
      </c>
      <c r="H439" s="50" t="s">
        <v>445</v>
      </c>
      <c r="J439" s="50" t="str">
        <f>IFERROR(VLOOKUP(Table358[[#This Row],[R&amp;D Tags]],'Old List of R&amp;D Tags vs IDI'!H:H,1,FALSE), " ")</f>
        <v xml:space="preserve"> </v>
      </c>
    </row>
    <row r="440" spans="2:10" x14ac:dyDescent="0.25">
      <c r="B440" s="19" t="s">
        <v>1625</v>
      </c>
      <c r="H440" s="50" t="s">
        <v>447</v>
      </c>
      <c r="J440" s="50" t="str">
        <f>IFERROR(VLOOKUP(Table358[[#This Row],[R&amp;D Tags]],'Old List of R&amp;D Tags vs IDI'!H:H,1,FALSE), " ")</f>
        <v xml:space="preserve"> </v>
      </c>
    </row>
    <row r="441" spans="2:10" x14ac:dyDescent="0.25">
      <c r="B441" s="13" t="s">
        <v>1626</v>
      </c>
      <c r="H441" s="50" t="s">
        <v>609</v>
      </c>
      <c r="J441" s="50" t="str">
        <f>IFERROR(VLOOKUP(Table358[[#This Row],[R&amp;D Tags]],'Old List of R&amp;D Tags vs IDI'!H:H,1,FALSE), " ")</f>
        <v xml:space="preserve"> </v>
      </c>
    </row>
    <row r="442" spans="2:10" x14ac:dyDescent="0.25">
      <c r="B442" s="13" t="s">
        <v>1627</v>
      </c>
      <c r="H442" s="50" t="s">
        <v>621</v>
      </c>
      <c r="J442" s="50" t="str">
        <f>IFERROR(VLOOKUP(Table358[[#This Row],[R&amp;D Tags]],'Old List of R&amp;D Tags vs IDI'!H:H,1,FALSE), " ")</f>
        <v xml:space="preserve"> </v>
      </c>
    </row>
    <row r="443" spans="2:10" x14ac:dyDescent="0.25">
      <c r="B443" s="13" t="s">
        <v>829</v>
      </c>
      <c r="H443" s="50" t="s">
        <v>465</v>
      </c>
      <c r="J443" s="50" t="str">
        <f>IFERROR(VLOOKUP(Table358[[#This Row],[R&amp;D Tags]],'Old List of R&amp;D Tags vs IDI'!H:H,1,FALSE), " ")</f>
        <v xml:space="preserve"> </v>
      </c>
    </row>
    <row r="444" spans="2:10" x14ac:dyDescent="0.25">
      <c r="B444" s="13" t="s">
        <v>833</v>
      </c>
      <c r="H444" s="50" t="s">
        <v>477</v>
      </c>
      <c r="J444" s="50" t="str">
        <f>IFERROR(VLOOKUP(Table358[[#This Row],[R&amp;D Tags]],'Old List of R&amp;D Tags vs IDI'!H:H,1,FALSE), " ")</f>
        <v xml:space="preserve"> </v>
      </c>
    </row>
    <row r="445" spans="2:10" x14ac:dyDescent="0.25">
      <c r="B445" s="13" t="s">
        <v>677</v>
      </c>
      <c r="H445" s="50" t="s">
        <v>388</v>
      </c>
      <c r="J445" s="50" t="str">
        <f>IFERROR(VLOOKUP(Table358[[#This Row],[R&amp;D Tags]],'Old List of R&amp;D Tags vs IDI'!H:H,1,FALSE), " ")</f>
        <v xml:space="preserve"> </v>
      </c>
    </row>
    <row r="446" spans="2:10" x14ac:dyDescent="0.25">
      <c r="B446" s="13" t="s">
        <v>877</v>
      </c>
      <c r="H446" s="50" t="s">
        <v>405</v>
      </c>
      <c r="J446" s="50" t="str">
        <f>IFERROR(VLOOKUP(Table358[[#This Row],[R&amp;D Tags]],'Old List of R&amp;D Tags vs IDI'!H:H,1,FALSE), " ")</f>
        <v xml:space="preserve"> </v>
      </c>
    </row>
    <row r="447" spans="2:10" x14ac:dyDescent="0.25">
      <c r="B447" s="19" t="s">
        <v>1628</v>
      </c>
      <c r="H447" s="50" t="s">
        <v>601</v>
      </c>
      <c r="J447" s="50" t="str">
        <f>IFERROR(VLOOKUP(Table358[[#This Row],[R&amp;D Tags]],'Old List of R&amp;D Tags vs IDI'!H:H,1,FALSE), " ")</f>
        <v xml:space="preserve"> </v>
      </c>
    </row>
    <row r="448" spans="2:10" x14ac:dyDescent="0.25">
      <c r="B448" s="19" t="s">
        <v>1629</v>
      </c>
      <c r="H448" s="50" t="s">
        <v>613</v>
      </c>
      <c r="J448" s="50" t="str">
        <f>IFERROR(VLOOKUP(Table358[[#This Row],[R&amp;D Tags]],'Old List of R&amp;D Tags vs IDI'!H:H,1,FALSE), " ")</f>
        <v xml:space="preserve"> </v>
      </c>
    </row>
    <row r="449" spans="2:10" x14ac:dyDescent="0.25">
      <c r="B449" s="19" t="s">
        <v>1630</v>
      </c>
      <c r="H449" s="50" t="s">
        <v>264</v>
      </c>
      <c r="J449" s="50" t="str">
        <f>IFERROR(VLOOKUP(Table358[[#This Row],[R&amp;D Tags]],'Old List of R&amp;D Tags vs IDI'!H:H,1,FALSE), " ")</f>
        <v xml:space="preserve"> </v>
      </c>
    </row>
    <row r="450" spans="2:10" x14ac:dyDescent="0.25">
      <c r="B450" s="19" t="s">
        <v>1631</v>
      </c>
      <c r="H450" s="50" t="s">
        <v>264</v>
      </c>
      <c r="J450" s="50" t="str">
        <f>IFERROR(VLOOKUP(Table358[[#This Row],[R&amp;D Tags]],'Old List of R&amp;D Tags vs IDI'!H:H,1,FALSE), " ")</f>
        <v xml:space="preserve"> </v>
      </c>
    </row>
    <row r="451" spans="2:10" x14ac:dyDescent="0.25">
      <c r="B451" s="13" t="s">
        <v>1632</v>
      </c>
      <c r="H451" s="50" t="s">
        <v>461</v>
      </c>
      <c r="J451" s="50" t="str">
        <f>IFERROR(VLOOKUP(Table358[[#This Row],[R&amp;D Tags]],'Old List of R&amp;D Tags vs IDI'!H:H,1,FALSE), " ")</f>
        <v xml:space="preserve"> </v>
      </c>
    </row>
    <row r="452" spans="2:10" x14ac:dyDescent="0.25">
      <c r="B452" s="13" t="s">
        <v>825</v>
      </c>
      <c r="H452" s="50" t="s">
        <v>469</v>
      </c>
      <c r="J452" s="50" t="str">
        <f>IFERROR(VLOOKUP(Table358[[#This Row],[R&amp;D Tags]],'Old List of R&amp;D Tags vs IDI'!H:H,1,FALSE), " ")</f>
        <v xml:space="preserve"> </v>
      </c>
    </row>
    <row r="453" spans="2:10" x14ac:dyDescent="0.25">
      <c r="B453" s="13" t="s">
        <v>837</v>
      </c>
      <c r="H453" s="50" t="s">
        <v>384</v>
      </c>
      <c r="J453" s="50" t="str">
        <f>IFERROR(VLOOKUP(Table358[[#This Row],[R&amp;D Tags]],'Old List of R&amp;D Tags vs IDI'!H:H,1,FALSE), " ")</f>
        <v xml:space="preserve"> </v>
      </c>
    </row>
    <row r="454" spans="2:10" x14ac:dyDescent="0.25">
      <c r="B454" s="13" t="s">
        <v>1633</v>
      </c>
      <c r="H454" s="50" t="s">
        <v>380</v>
      </c>
      <c r="J454" s="50" t="str">
        <f>IFERROR(VLOOKUP(Table358[[#This Row],[R&amp;D Tags]],'Old List of R&amp;D Tags vs IDI'!H:H,1,FALSE), " ")</f>
        <v xml:space="preserve"> </v>
      </c>
    </row>
    <row r="455" spans="2:10" x14ac:dyDescent="0.25">
      <c r="B455" s="13" t="s">
        <v>376</v>
      </c>
      <c r="H455" s="50" t="s">
        <v>457</v>
      </c>
      <c r="J455" s="50" t="str">
        <f>IFERROR(VLOOKUP(Table358[[#This Row],[R&amp;D Tags]],'Old List of R&amp;D Tags vs IDI'!H:H,1,FALSE), " ")</f>
        <v xml:space="preserve"> </v>
      </c>
    </row>
    <row r="456" spans="2:10" x14ac:dyDescent="0.25">
      <c r="B456" s="13" t="s">
        <v>376</v>
      </c>
      <c r="H456" s="50" t="s">
        <v>473</v>
      </c>
      <c r="J456" s="50" t="str">
        <f>IFERROR(VLOOKUP(Table358[[#This Row],[R&amp;D Tags]],'Old List of R&amp;D Tags vs IDI'!H:H,1,FALSE), " ")</f>
        <v xml:space="preserve"> </v>
      </c>
    </row>
    <row r="457" spans="2:10" x14ac:dyDescent="0.25">
      <c r="B457" s="13" t="s">
        <v>881</v>
      </c>
      <c r="H457" s="50" t="s">
        <v>777</v>
      </c>
      <c r="J457" s="50" t="str">
        <f>IFERROR(VLOOKUP(Table358[[#This Row],[R&amp;D Tags]],'Old List of R&amp;D Tags vs IDI'!H:H,1,FALSE), " ")</f>
        <v xml:space="preserve"> </v>
      </c>
    </row>
    <row r="458" spans="2:10" x14ac:dyDescent="0.25">
      <c r="B458" s="20" t="s">
        <v>1634</v>
      </c>
      <c r="H458" s="50" t="s">
        <v>789</v>
      </c>
      <c r="J458" s="50" t="str">
        <f>IFERROR(VLOOKUP(Table358[[#This Row],[R&amp;D Tags]],'Old List of R&amp;D Tags vs IDI'!H:H,1,FALSE), " ")</f>
        <v xml:space="preserve"> </v>
      </c>
    </row>
    <row r="459" spans="2:10" x14ac:dyDescent="0.25">
      <c r="B459" s="20" t="s">
        <v>1635</v>
      </c>
      <c r="H459" s="50" t="s">
        <v>340</v>
      </c>
      <c r="J459" s="50" t="str">
        <f>IFERROR(VLOOKUP(Table358[[#This Row],[R&amp;D Tags]],'Old List of R&amp;D Tags vs IDI'!H:H,1,FALSE), " ")</f>
        <v xml:space="preserve"> </v>
      </c>
    </row>
    <row r="460" spans="2:10" x14ac:dyDescent="0.25">
      <c r="B460" s="20" t="s">
        <v>1636</v>
      </c>
      <c r="H460" s="50" t="s">
        <v>769</v>
      </c>
      <c r="J460" s="50" t="str">
        <f>IFERROR(VLOOKUP(Table358[[#This Row],[R&amp;D Tags]],'Old List of R&amp;D Tags vs IDI'!H:H,1,FALSE), " ")</f>
        <v xml:space="preserve"> </v>
      </c>
    </row>
    <row r="461" spans="2:10" x14ac:dyDescent="0.25">
      <c r="B461" s="20" t="s">
        <v>1637</v>
      </c>
      <c r="H461" s="50" t="s">
        <v>350</v>
      </c>
      <c r="J461" s="50" t="str">
        <f>IFERROR(VLOOKUP(Table358[[#This Row],[R&amp;D Tags]],'Old List of R&amp;D Tags vs IDI'!H:H,1,FALSE), " ")</f>
        <v xml:space="preserve"> </v>
      </c>
    </row>
    <row r="462" spans="2:10" x14ac:dyDescent="0.25">
      <c r="B462" s="20" t="s">
        <v>1638</v>
      </c>
      <c r="H462" s="50" t="s">
        <v>453</v>
      </c>
      <c r="J462" s="50" t="str">
        <f>IFERROR(VLOOKUP(Table358[[#This Row],[R&amp;D Tags]],'Old List of R&amp;D Tags vs IDI'!H:H,1,FALSE), " ")</f>
        <v xml:space="preserve"> </v>
      </c>
    </row>
    <row r="463" spans="2:10" x14ac:dyDescent="0.25">
      <c r="B463" s="19" t="s">
        <v>368</v>
      </c>
      <c r="H463" s="50" t="s">
        <v>781</v>
      </c>
      <c r="J463" s="50" t="str">
        <f>IFERROR(VLOOKUP(Table358[[#This Row],[R&amp;D Tags]],'Old List of R&amp;D Tags vs IDI'!H:H,1,FALSE), " ")</f>
        <v xml:space="preserve"> </v>
      </c>
    </row>
    <row r="464" spans="2:10" x14ac:dyDescent="0.25">
      <c r="B464" s="13" t="s">
        <v>326</v>
      </c>
      <c r="H464" s="50" t="s">
        <v>793</v>
      </c>
      <c r="J464" s="50" t="str">
        <f>IFERROR(VLOOKUP(Table358[[#This Row],[R&amp;D Tags]],'Old List of R&amp;D Tags vs IDI'!H:H,1,FALSE), " ")</f>
        <v xml:space="preserve"> </v>
      </c>
    </row>
    <row r="465" spans="2:10" x14ac:dyDescent="0.25">
      <c r="B465" s="13" t="s">
        <v>260</v>
      </c>
      <c r="H465" s="50" t="s">
        <v>809</v>
      </c>
      <c r="J465" s="50" t="str">
        <f>IFERROR(VLOOKUP(Table358[[#This Row],[R&amp;D Tags]],'Old List of R&amp;D Tags vs IDI'!H:H,1,FALSE), " ")</f>
        <v xml:space="preserve"> </v>
      </c>
    </row>
    <row r="466" spans="2:10" x14ac:dyDescent="0.25">
      <c r="B466" s="19" t="s">
        <v>260</v>
      </c>
      <c r="H466" s="50" t="s">
        <v>273</v>
      </c>
      <c r="J466" s="50" t="str">
        <f>IFERROR(VLOOKUP(Table358[[#This Row],[R&amp;D Tags]],'Old List of R&amp;D Tags vs IDI'!H:H,1,FALSE), " ")</f>
        <v xml:space="preserve"> </v>
      </c>
    </row>
    <row r="467" spans="2:10" x14ac:dyDescent="0.25">
      <c r="B467" s="20" t="s">
        <v>1639</v>
      </c>
      <c r="H467" s="50" t="s">
        <v>286</v>
      </c>
      <c r="J467" s="50" t="str">
        <f>IFERROR(VLOOKUP(Table358[[#This Row],[R&amp;D Tags]],'Old List of R&amp;D Tags vs IDI'!H:H,1,FALSE), " ")</f>
        <v xml:space="preserve"> </v>
      </c>
    </row>
    <row r="468" spans="2:10" x14ac:dyDescent="0.25">
      <c r="B468" s="20" t="s">
        <v>1640</v>
      </c>
      <c r="H468" s="50" t="s">
        <v>449</v>
      </c>
      <c r="J468" s="50" t="str">
        <f>IFERROR(VLOOKUP(Table358[[#This Row],[R&amp;D Tags]],'Old List of R&amp;D Tags vs IDI'!H:H,1,FALSE), " ")</f>
        <v xml:space="preserve"> </v>
      </c>
    </row>
    <row r="469" spans="2:10" x14ac:dyDescent="0.25">
      <c r="B469" s="20" t="s">
        <v>1641</v>
      </c>
      <c r="H469" s="50" t="s">
        <v>785</v>
      </c>
      <c r="J469" s="50" t="str">
        <f>IFERROR(VLOOKUP(Table358[[#This Row],[R&amp;D Tags]],'Old List of R&amp;D Tags vs IDI'!H:H,1,FALSE), " ")</f>
        <v xml:space="preserve"> </v>
      </c>
    </row>
    <row r="470" spans="2:10" x14ac:dyDescent="0.25">
      <c r="B470" s="20" t="s">
        <v>1642</v>
      </c>
      <c r="H470" s="50" t="s">
        <v>801</v>
      </c>
      <c r="J470" s="50" t="str">
        <f>IFERROR(VLOOKUP(Table358[[#This Row],[R&amp;D Tags]],'Old List of R&amp;D Tags vs IDI'!H:H,1,FALSE), " ")</f>
        <v xml:space="preserve"> </v>
      </c>
    </row>
    <row r="471" spans="2:10" x14ac:dyDescent="0.25">
      <c r="B471" s="19" t="s">
        <v>364</v>
      </c>
      <c r="H471" s="50" t="s">
        <v>345</v>
      </c>
      <c r="J471" s="50" t="str">
        <f>IFERROR(VLOOKUP(Table358[[#This Row],[R&amp;D Tags]],'Old List of R&amp;D Tags vs IDI'!H:H,1,FALSE), " ")</f>
        <v xml:space="preserve"> </v>
      </c>
    </row>
    <row r="472" spans="2:10" x14ac:dyDescent="0.25">
      <c r="B472" s="19" t="s">
        <v>372</v>
      </c>
      <c r="H472" s="50" t="s">
        <v>103</v>
      </c>
      <c r="J472" s="50" t="str">
        <f>IFERROR(VLOOKUP(Table358[[#This Row],[R&amp;D Tags]],'Old List of R&amp;D Tags vs IDI'!H:H,1,FALSE), " ")</f>
        <v xml:space="preserve"> </v>
      </c>
    </row>
    <row r="473" spans="2:10" x14ac:dyDescent="0.25">
      <c r="B473" s="19" t="s">
        <v>268</v>
      </c>
      <c r="H473" s="50" t="s">
        <v>107</v>
      </c>
      <c r="J473" s="50" t="str">
        <f>IFERROR(VLOOKUP(Table358[[#This Row],[R&amp;D Tags]],'Old List of R&amp;D Tags vs IDI'!H:H,1,FALSE), " ")</f>
        <v xml:space="preserve"> </v>
      </c>
    </row>
    <row r="474" spans="2:10" x14ac:dyDescent="0.25">
      <c r="B474" s="13" t="s">
        <v>1224</v>
      </c>
      <c r="H474" s="50" t="s">
        <v>111</v>
      </c>
      <c r="J474" s="50" t="str">
        <f>IFERROR(VLOOKUP(Table358[[#This Row],[R&amp;D Tags]],'Old List of R&amp;D Tags vs IDI'!H:H,1,FALSE), " ")</f>
        <v xml:space="preserve"> </v>
      </c>
    </row>
    <row r="475" spans="2:10" x14ac:dyDescent="0.25">
      <c r="B475" s="39" t="s">
        <v>1643</v>
      </c>
      <c r="H475" s="50" t="s">
        <v>116</v>
      </c>
      <c r="J475" s="50" t="str">
        <f>IFERROR(VLOOKUP(Table358[[#This Row],[R&amp;D Tags]],'Old List of R&amp;D Tags vs IDI'!H:H,1,FALSE), " ")</f>
        <v xml:space="preserve"> </v>
      </c>
    </row>
    <row r="476" spans="2:10" x14ac:dyDescent="0.25">
      <c r="B476" s="13" t="s">
        <v>1644</v>
      </c>
      <c r="H476" s="50" t="s">
        <v>118</v>
      </c>
      <c r="J476" s="50" t="str">
        <f>IFERROR(VLOOKUP(Table358[[#This Row],[R&amp;D Tags]],'Old List of R&amp;D Tags vs IDI'!H:H,1,FALSE), " ")</f>
        <v xml:space="preserve"> </v>
      </c>
    </row>
    <row r="477" spans="2:10" x14ac:dyDescent="0.25">
      <c r="B477" s="13" t="s">
        <v>1645</v>
      </c>
      <c r="H477" s="50" t="s">
        <v>93</v>
      </c>
      <c r="J477" s="50" t="str">
        <f>IFERROR(VLOOKUP(Table358[[#This Row],[R&amp;D Tags]],'Old List of R&amp;D Tags vs IDI'!H:H,1,FALSE), " ")</f>
        <v xml:space="preserve"> </v>
      </c>
    </row>
    <row r="478" spans="2:10" x14ac:dyDescent="0.25">
      <c r="B478" s="13" t="s">
        <v>1645</v>
      </c>
      <c r="H478" s="50" t="s">
        <v>98</v>
      </c>
      <c r="J478" s="50" t="str">
        <f>IFERROR(VLOOKUP(Table358[[#This Row],[R&amp;D Tags]],'Old List of R&amp;D Tags vs IDI'!H:H,1,FALSE), " ")</f>
        <v xml:space="preserve"> </v>
      </c>
    </row>
    <row r="479" spans="2:10" ht="15.75" x14ac:dyDescent="0.25">
      <c r="B479" s="24" t="s">
        <v>1646</v>
      </c>
      <c r="H479" s="50" t="s">
        <v>120</v>
      </c>
      <c r="J479" s="50" t="str">
        <f>IFERROR(VLOOKUP(Table358[[#This Row],[R&amp;D Tags]],'Old List of R&amp;D Tags vs IDI'!H:H,1,FALSE), " ")</f>
        <v xml:space="preserve"> </v>
      </c>
    </row>
    <row r="480" spans="2:10" x14ac:dyDescent="0.25">
      <c r="B480" s="13" t="s">
        <v>1647</v>
      </c>
      <c r="H480" s="50" t="s">
        <v>124</v>
      </c>
      <c r="J480" s="50" t="str">
        <f>IFERROR(VLOOKUP(Table358[[#This Row],[R&amp;D Tags]],'Old List of R&amp;D Tags vs IDI'!H:H,1,FALSE), " ")</f>
        <v xml:space="preserve"> </v>
      </c>
    </row>
    <row r="481" spans="2:10" ht="30" x14ac:dyDescent="0.25">
      <c r="B481" s="12" t="s">
        <v>1648</v>
      </c>
      <c r="H481" s="50" t="s">
        <v>499</v>
      </c>
      <c r="J481" s="50" t="str">
        <f>IFERROR(VLOOKUP(Table358[[#This Row],[R&amp;D Tags]],'Old List of R&amp;D Tags vs IDI'!H:H,1,FALSE), " ")</f>
        <v xml:space="preserve"> </v>
      </c>
    </row>
    <row r="482" spans="2:10" ht="30" x14ac:dyDescent="0.25">
      <c r="B482" s="12" t="s">
        <v>1648</v>
      </c>
      <c r="H482" s="50" t="s">
        <v>503</v>
      </c>
      <c r="J482" s="50" t="str">
        <f>IFERROR(VLOOKUP(Table358[[#This Row],[R&amp;D Tags]],'Old List of R&amp;D Tags vs IDI'!H:H,1,FALSE), " ")</f>
        <v xml:space="preserve"> </v>
      </c>
    </row>
    <row r="483" spans="2:10" ht="45" x14ac:dyDescent="0.25">
      <c r="B483" s="22" t="s">
        <v>1649</v>
      </c>
      <c r="H483" s="50" t="s">
        <v>486</v>
      </c>
      <c r="J483" s="50" t="str">
        <f>IFERROR(VLOOKUP(Table358[[#This Row],[R&amp;D Tags]],'Old List of R&amp;D Tags vs IDI'!H:H,1,FALSE), " ")</f>
        <v xml:space="preserve"> </v>
      </c>
    </row>
    <row r="484" spans="2:10" ht="30" x14ac:dyDescent="0.25">
      <c r="B484" s="9" t="s">
        <v>1650</v>
      </c>
      <c r="H484" s="50" t="s">
        <v>519</v>
      </c>
      <c r="J484" s="50" t="str">
        <f>IFERROR(VLOOKUP(Table358[[#This Row],[R&amp;D Tags]],'Old List of R&amp;D Tags vs IDI'!H:H,1,FALSE), " ")</f>
        <v xml:space="preserve"> </v>
      </c>
    </row>
    <row r="485" spans="2:10" ht="30" x14ac:dyDescent="0.25">
      <c r="B485" s="9" t="s">
        <v>1650</v>
      </c>
      <c r="H485" s="50" t="s">
        <v>523</v>
      </c>
      <c r="J485" s="50" t="str">
        <f>IFERROR(VLOOKUP(Table358[[#This Row],[R&amp;D Tags]],'Old List of R&amp;D Tags vs IDI'!H:H,1,FALSE), " ")</f>
        <v xml:space="preserve"> </v>
      </c>
    </row>
    <row r="486" spans="2:10" ht="30" x14ac:dyDescent="0.25">
      <c r="B486" s="12" t="s">
        <v>1651</v>
      </c>
      <c r="H486" s="50" t="s">
        <v>507</v>
      </c>
      <c r="J486" s="50" t="str">
        <f>IFERROR(VLOOKUP(Table358[[#This Row],[R&amp;D Tags]],'Old List of R&amp;D Tags vs IDI'!H:H,1,FALSE), " ")</f>
        <v xml:space="preserve"> </v>
      </c>
    </row>
    <row r="487" spans="2:10" x14ac:dyDescent="0.25">
      <c r="B487" s="13" t="s">
        <v>1209</v>
      </c>
      <c r="H487" s="50" t="s">
        <v>568</v>
      </c>
      <c r="J487" s="50" t="str">
        <f>IFERROR(VLOOKUP(Table358[[#This Row],[R&amp;D Tags]],'Old List of R&amp;D Tags vs IDI'!H:H,1,FALSE), " ")</f>
        <v xml:space="preserve"> </v>
      </c>
    </row>
    <row r="488" spans="2:10" x14ac:dyDescent="0.25">
      <c r="B488" s="13" t="s">
        <v>1652</v>
      </c>
      <c r="H488" s="50" t="s">
        <v>593</v>
      </c>
      <c r="J488" s="50" t="str">
        <f>IFERROR(VLOOKUP(Table358[[#This Row],[R&amp;D Tags]],'Old List of R&amp;D Tags vs IDI'!H:H,1,FALSE), " ")</f>
        <v xml:space="preserve"> </v>
      </c>
    </row>
    <row r="489" spans="2:10" ht="30" x14ac:dyDescent="0.25">
      <c r="B489" s="12" t="s">
        <v>1653</v>
      </c>
      <c r="H489" s="50" t="s">
        <v>539</v>
      </c>
      <c r="J489" s="50" t="str">
        <f>IFERROR(VLOOKUP(Table358[[#This Row],[R&amp;D Tags]],'Old List of R&amp;D Tags vs IDI'!H:H,1,FALSE), " ")</f>
        <v xml:space="preserve"> </v>
      </c>
    </row>
    <row r="490" spans="2:10" ht="30" x14ac:dyDescent="0.25">
      <c r="B490" s="8" t="s">
        <v>1654</v>
      </c>
      <c r="H490" s="50" t="s">
        <v>543</v>
      </c>
      <c r="J490" s="50" t="str">
        <f>IFERROR(VLOOKUP(Table358[[#This Row],[R&amp;D Tags]],'Old List of R&amp;D Tags vs IDI'!H:H,1,FALSE), " ")</f>
        <v xml:space="preserve"> </v>
      </c>
    </row>
    <row r="491" spans="2:10" ht="60" x14ac:dyDescent="0.25">
      <c r="B491" s="9" t="s">
        <v>1655</v>
      </c>
      <c r="H491" s="50" t="s">
        <v>527</v>
      </c>
      <c r="J491" s="50" t="str">
        <f>IFERROR(VLOOKUP(Table358[[#This Row],[R&amp;D Tags]],'Old List of R&amp;D Tags vs IDI'!H:H,1,FALSE), " ")</f>
        <v xml:space="preserve"> </v>
      </c>
    </row>
    <row r="492" spans="2:10" x14ac:dyDescent="0.25">
      <c r="B492" s="18" t="s">
        <v>1656</v>
      </c>
      <c r="H492" s="50" t="s">
        <v>490</v>
      </c>
      <c r="J492" s="50" t="str">
        <f>IFERROR(VLOOKUP(Table358[[#This Row],[R&amp;D Tags]],'Old List of R&amp;D Tags vs IDI'!H:H,1,FALSE), " ")</f>
        <v xml:space="preserve"> </v>
      </c>
    </row>
    <row r="493" spans="2:10" x14ac:dyDescent="0.25">
      <c r="B493" s="19" t="s">
        <v>1657</v>
      </c>
      <c r="H493" s="50" t="s">
        <v>515</v>
      </c>
      <c r="J493" s="50" t="str">
        <f>IFERROR(VLOOKUP(Table358[[#This Row],[R&amp;D Tags]],'Old List of R&amp;D Tags vs IDI'!H:H,1,FALSE), " ")</f>
        <v xml:space="preserve"> </v>
      </c>
    </row>
    <row r="494" spans="2:10" x14ac:dyDescent="0.25">
      <c r="B494" s="19" t="s">
        <v>1657</v>
      </c>
      <c r="H494" s="50" t="s">
        <v>511</v>
      </c>
      <c r="J494" s="50" t="str">
        <f>IFERROR(VLOOKUP(Table358[[#This Row],[R&amp;D Tags]],'Old List of R&amp;D Tags vs IDI'!H:H,1,FALSE), " ")</f>
        <v xml:space="preserve"> </v>
      </c>
    </row>
    <row r="495" spans="2:10" x14ac:dyDescent="0.25">
      <c r="B495" s="19" t="s">
        <v>256</v>
      </c>
      <c r="H495" s="50" t="s">
        <v>564</v>
      </c>
      <c r="J495" s="50" t="str">
        <f>IFERROR(VLOOKUP(Table358[[#This Row],[R&amp;D Tags]],'Old List of R&amp;D Tags vs IDI'!H:H,1,FALSE), " ")</f>
        <v xml:space="preserve"> </v>
      </c>
    </row>
    <row r="496" spans="2:10" x14ac:dyDescent="0.25">
      <c r="B496" s="19" t="s">
        <v>252</v>
      </c>
      <c r="H496" s="50" t="s">
        <v>535</v>
      </c>
      <c r="J496" s="50" t="str">
        <f>IFERROR(VLOOKUP(Table358[[#This Row],[R&amp;D Tags]],'Old List of R&amp;D Tags vs IDI'!H:H,1,FALSE), " ")</f>
        <v xml:space="preserve"> </v>
      </c>
    </row>
    <row r="497" spans="2:10" x14ac:dyDescent="0.25">
      <c r="B497" s="10" t="s">
        <v>13</v>
      </c>
      <c r="H497" s="50" t="s">
        <v>585</v>
      </c>
      <c r="J497" s="50" t="str">
        <f>IFERROR(VLOOKUP(Table358[[#This Row],[R&amp;D Tags]],'Old List of R&amp;D Tags vs IDI'!H:H,1,FALSE), " ")</f>
        <v xml:space="preserve"> </v>
      </c>
    </row>
    <row r="498" spans="2:10" ht="30" x14ac:dyDescent="0.25">
      <c r="B498" s="13" t="s">
        <v>1658</v>
      </c>
      <c r="H498" s="50" t="s">
        <v>580</v>
      </c>
      <c r="J498" s="50" t="str">
        <f>IFERROR(VLOOKUP(Table358[[#This Row],[R&amp;D Tags]],'Old List of R&amp;D Tags vs IDI'!H:H,1,FALSE), " ")</f>
        <v xml:space="preserve"> </v>
      </c>
    </row>
    <row r="499" spans="2:10" ht="30" x14ac:dyDescent="0.25">
      <c r="B499" s="9" t="s">
        <v>1659</v>
      </c>
      <c r="H499" s="50" t="s">
        <v>597</v>
      </c>
      <c r="J499" s="50" t="str">
        <f>IFERROR(VLOOKUP(Table358[[#This Row],[R&amp;D Tags]],'Old List of R&amp;D Tags vs IDI'!H:H,1,FALSE), " ")</f>
        <v xml:space="preserve"> </v>
      </c>
    </row>
    <row r="500" spans="2:10" ht="30" x14ac:dyDescent="0.25">
      <c r="B500" s="9" t="s">
        <v>1660</v>
      </c>
      <c r="H500" s="50" t="s">
        <v>555</v>
      </c>
      <c r="J500" s="50" t="str">
        <f>IFERROR(VLOOKUP(Table358[[#This Row],[R&amp;D Tags]],'Old List of R&amp;D Tags vs IDI'!H:H,1,FALSE), " ")</f>
        <v xml:space="preserve"> </v>
      </c>
    </row>
    <row r="501" spans="2:10" ht="45" x14ac:dyDescent="0.25">
      <c r="B501" s="7" t="s">
        <v>1661</v>
      </c>
      <c r="H501" s="50" t="s">
        <v>551</v>
      </c>
      <c r="J501" s="50" t="str">
        <f>IFERROR(VLOOKUP(Table358[[#This Row],[R&amp;D Tags]],'Old List of R&amp;D Tags vs IDI'!H:H,1,FALSE), " ")</f>
        <v xml:space="preserve"> </v>
      </c>
    </row>
    <row r="502" spans="2:10" ht="47.25" x14ac:dyDescent="0.25">
      <c r="B502" s="17" t="s">
        <v>1662</v>
      </c>
      <c r="H502" s="50" t="s">
        <v>572</v>
      </c>
      <c r="J502" s="50" t="str">
        <f>IFERROR(VLOOKUP(Table358[[#This Row],[R&amp;D Tags]],'Old List of R&amp;D Tags vs IDI'!H:H,1,FALSE), " ")</f>
        <v xml:space="preserve"> </v>
      </c>
    </row>
    <row r="503" spans="2:10" ht="47.25" x14ac:dyDescent="0.25">
      <c r="B503" s="17" t="s">
        <v>1663</v>
      </c>
      <c r="H503" s="50" t="s">
        <v>547</v>
      </c>
      <c r="J503" s="50" t="str">
        <f>IFERROR(VLOOKUP(Table358[[#This Row],[R&amp;D Tags]],'Old List of R&amp;D Tags vs IDI'!H:H,1,FALSE), " ")</f>
        <v xml:space="preserve"> </v>
      </c>
    </row>
    <row r="504" spans="2:10" ht="47.25" x14ac:dyDescent="0.25">
      <c r="B504" s="17" t="s">
        <v>1664</v>
      </c>
      <c r="H504" s="50" t="s">
        <v>531</v>
      </c>
      <c r="J504" s="50" t="str">
        <f>IFERROR(VLOOKUP(Table358[[#This Row],[R&amp;D Tags]],'Old List of R&amp;D Tags vs IDI'!H:H,1,FALSE), " ")</f>
        <v xml:space="preserve"> </v>
      </c>
    </row>
    <row r="505" spans="2:10" ht="31.5" x14ac:dyDescent="0.25">
      <c r="B505" s="17" t="s">
        <v>1665</v>
      </c>
      <c r="H505" s="50" t="s">
        <v>560</v>
      </c>
      <c r="J505" s="50" t="str">
        <f>IFERROR(VLOOKUP(Table358[[#This Row],[R&amp;D Tags]],'Old List of R&amp;D Tags vs IDI'!H:H,1,FALSE), " ")</f>
        <v xml:space="preserve"> </v>
      </c>
    </row>
    <row r="506" spans="2:10" ht="47.25" x14ac:dyDescent="0.25">
      <c r="B506" s="17" t="s">
        <v>1666</v>
      </c>
      <c r="H506" s="50" t="s">
        <v>576</v>
      </c>
      <c r="J506" s="50" t="str">
        <f>IFERROR(VLOOKUP(Table358[[#This Row],[R&amp;D Tags]],'Old List of R&amp;D Tags vs IDI'!H:H,1,FALSE), " ")</f>
        <v xml:space="preserve"> </v>
      </c>
    </row>
    <row r="507" spans="2:10" ht="47.25" x14ac:dyDescent="0.25">
      <c r="B507" s="17" t="s">
        <v>1667</v>
      </c>
      <c r="H507" s="50" t="s">
        <v>589</v>
      </c>
      <c r="J507" s="50" t="str">
        <f>IFERROR(VLOOKUP(Table358[[#This Row],[R&amp;D Tags]],'Old List of R&amp;D Tags vs IDI'!H:H,1,FALSE), " ")</f>
        <v xml:space="preserve"> </v>
      </c>
    </row>
    <row r="508" spans="2:10" ht="30" x14ac:dyDescent="0.25">
      <c r="B508" s="8" t="s">
        <v>1668</v>
      </c>
      <c r="H508" s="50" t="s">
        <v>934</v>
      </c>
      <c r="J508" s="50" t="str">
        <f>IFERROR(VLOOKUP(Table358[[#This Row],[R&amp;D Tags]],'Old List of R&amp;D Tags vs IDI'!H:H,1,FALSE), " ")</f>
        <v xml:space="preserve"> </v>
      </c>
    </row>
    <row r="509" spans="2:10" x14ac:dyDescent="0.25">
      <c r="B509" s="13" t="s">
        <v>1669</v>
      </c>
      <c r="H509" s="50" t="s">
        <v>905</v>
      </c>
      <c r="J509" s="50" t="str">
        <f>IFERROR(VLOOKUP(Table358[[#This Row],[R&amp;D Tags]],'Old List of R&amp;D Tags vs IDI'!H:H,1,FALSE), " ")</f>
        <v xml:space="preserve"> </v>
      </c>
    </row>
    <row r="510" spans="2:10" ht="63" x14ac:dyDescent="0.25">
      <c r="B510" s="14" t="s">
        <v>1670</v>
      </c>
      <c r="H510" s="50" t="s">
        <v>661</v>
      </c>
      <c r="J510" s="50" t="str">
        <f>IFERROR(VLOOKUP(Table358[[#This Row],[R&amp;D Tags]],'Old List of R&amp;D Tags vs IDI'!H:H,1,FALSE), " ")</f>
        <v xml:space="preserve"> </v>
      </c>
    </row>
    <row r="511" spans="2:10" ht="30" x14ac:dyDescent="0.25">
      <c r="B511" s="12" t="s">
        <v>1671</v>
      </c>
      <c r="H511" s="50" t="s">
        <v>661</v>
      </c>
      <c r="J511" s="50" t="str">
        <f>IFERROR(VLOOKUP(Table358[[#This Row],[R&amp;D Tags]],'Old List of R&amp;D Tags vs IDI'!H:H,1,FALSE), " ")</f>
        <v xml:space="preserve"> </v>
      </c>
    </row>
    <row r="512" spans="2:10" ht="94.5" x14ac:dyDescent="0.25">
      <c r="B512" s="11" t="s">
        <v>1672</v>
      </c>
      <c r="H512" s="50" t="s">
        <v>921</v>
      </c>
      <c r="J512" s="50" t="str">
        <f>IFERROR(VLOOKUP(Table358[[#This Row],[R&amp;D Tags]],'Old List of R&amp;D Tags vs IDI'!H:H,1,FALSE), " ")</f>
        <v xml:space="preserve"> </v>
      </c>
    </row>
    <row r="513" spans="2:10" ht="63" x14ac:dyDescent="0.25">
      <c r="B513" s="14" t="s">
        <v>1673</v>
      </c>
      <c r="H513" s="50" t="s">
        <v>869</v>
      </c>
      <c r="J513" s="50" t="str">
        <f>IFERROR(VLOOKUP(Table358[[#This Row],[R&amp;D Tags]],'Old List of R&amp;D Tags vs IDI'!H:H,1,FALSE), " ")</f>
        <v xml:space="preserve"> </v>
      </c>
    </row>
    <row r="514" spans="2:10" x14ac:dyDescent="0.25">
      <c r="B514" s="13" t="s">
        <v>893</v>
      </c>
      <c r="H514" s="50" t="s">
        <v>873</v>
      </c>
      <c r="J514" s="50" t="str">
        <f>IFERROR(VLOOKUP(Table358[[#This Row],[R&amp;D Tags]],'Old List of R&amp;D Tags vs IDI'!H:H,1,FALSE), " ")</f>
        <v xml:space="preserve"> </v>
      </c>
    </row>
    <row r="515" spans="2:10" x14ac:dyDescent="0.25">
      <c r="B515" s="13" t="s">
        <v>897</v>
      </c>
      <c r="H515" s="50" t="s">
        <v>841</v>
      </c>
      <c r="J515" s="50" t="str">
        <f>IFERROR(VLOOKUP(Table358[[#This Row],[R&amp;D Tags]],'Old List of R&amp;D Tags vs IDI'!H:H,1,FALSE), " ")</f>
        <v xml:space="preserve"> </v>
      </c>
    </row>
    <row r="516" spans="2:10" x14ac:dyDescent="0.25">
      <c r="B516" s="13" t="s">
        <v>901</v>
      </c>
      <c r="H516" s="50" t="s">
        <v>845</v>
      </c>
      <c r="J516" s="50" t="str">
        <f>IFERROR(VLOOKUP(Table358[[#This Row],[R&amp;D Tags]],'Old List of R&amp;D Tags vs IDI'!H:H,1,FALSE), " ")</f>
        <v xml:space="preserve"> </v>
      </c>
    </row>
    <row r="517" spans="2:10" x14ac:dyDescent="0.25">
      <c r="B517" s="13" t="s">
        <v>996</v>
      </c>
      <c r="H517" s="50" t="s">
        <v>849</v>
      </c>
      <c r="J517" s="50" t="str">
        <f>IFERROR(VLOOKUP(Table358[[#This Row],[R&amp;D Tags]],'Old List of R&amp;D Tags vs IDI'!H:H,1,FALSE), " ")</f>
        <v xml:space="preserve"> </v>
      </c>
    </row>
    <row r="518" spans="2:10" x14ac:dyDescent="0.25">
      <c r="B518" s="13" t="s">
        <v>992</v>
      </c>
      <c r="H518" s="50" t="s">
        <v>853</v>
      </c>
      <c r="J518" s="50" t="str">
        <f>IFERROR(VLOOKUP(Table358[[#This Row],[R&amp;D Tags]],'Old List of R&amp;D Tags vs IDI'!H:H,1,FALSE), " ")</f>
        <v xml:space="preserve"> </v>
      </c>
    </row>
    <row r="519" spans="2:10" x14ac:dyDescent="0.25">
      <c r="B519" s="13" t="s">
        <v>1000</v>
      </c>
      <c r="H519" s="50" t="s">
        <v>857</v>
      </c>
      <c r="J519" s="50" t="str">
        <f>IFERROR(VLOOKUP(Table358[[#This Row],[R&amp;D Tags]],'Old List of R&amp;D Tags vs IDI'!H:H,1,FALSE), " ")</f>
        <v xml:space="preserve"> </v>
      </c>
    </row>
    <row r="520" spans="2:10" x14ac:dyDescent="0.25">
      <c r="B520" s="13" t="s">
        <v>980</v>
      </c>
      <c r="H520" s="50" t="s">
        <v>861</v>
      </c>
      <c r="J520" s="50" t="str">
        <f>IFERROR(VLOOKUP(Table358[[#This Row],[R&amp;D Tags]],'Old List of R&amp;D Tags vs IDI'!H:H,1,FALSE), " ")</f>
        <v xml:space="preserve"> </v>
      </c>
    </row>
    <row r="521" spans="2:10" x14ac:dyDescent="0.25">
      <c r="B521" s="13" t="s">
        <v>984</v>
      </c>
      <c r="H521" s="50" t="s">
        <v>865</v>
      </c>
      <c r="J521" s="50" t="str">
        <f>IFERROR(VLOOKUP(Table358[[#This Row],[R&amp;D Tags]],'Old List of R&amp;D Tags vs IDI'!H:H,1,FALSE), " ")</f>
        <v xml:space="preserve"> </v>
      </c>
    </row>
    <row r="522" spans="2:10" x14ac:dyDescent="0.25">
      <c r="B522" s="13" t="s">
        <v>938</v>
      </c>
      <c r="H522" s="50" t="s">
        <v>909</v>
      </c>
      <c r="J522" s="50" t="str">
        <f>IFERROR(VLOOKUP(Table358[[#This Row],[R&amp;D Tags]],'Old List of R&amp;D Tags vs IDI'!H:H,1,FALSE), " ")</f>
        <v xml:space="preserve"> </v>
      </c>
    </row>
    <row r="523" spans="2:10" x14ac:dyDescent="0.25">
      <c r="B523" s="13" t="s">
        <v>946</v>
      </c>
      <c r="H523" s="50" t="s">
        <v>669</v>
      </c>
      <c r="J523" s="50" t="str">
        <f>IFERROR(VLOOKUP(Table358[[#This Row],[R&amp;D Tags]],'Old List of R&amp;D Tags vs IDI'!H:H,1,FALSE), " ")</f>
        <v xml:space="preserve"> </v>
      </c>
    </row>
    <row r="524" spans="2:10" x14ac:dyDescent="0.25">
      <c r="B524" s="13" t="s">
        <v>988</v>
      </c>
      <c r="H524" s="50" t="s">
        <v>669</v>
      </c>
      <c r="J524" s="50" t="str">
        <f>IFERROR(VLOOKUP(Table358[[#This Row],[R&amp;D Tags]],'Old List of R&amp;D Tags vs IDI'!H:H,1,FALSE), " ")</f>
        <v xml:space="preserve"> </v>
      </c>
    </row>
    <row r="525" spans="2:10" x14ac:dyDescent="0.25">
      <c r="B525" s="13" t="s">
        <v>1008</v>
      </c>
      <c r="H525" s="50" t="s">
        <v>1024</v>
      </c>
      <c r="J525" s="50" t="str">
        <f>IFERROR(VLOOKUP(Table358[[#This Row],[R&amp;D Tags]],'Old List of R&amp;D Tags vs IDI'!H:H,1,FALSE), " ")</f>
        <v xml:space="preserve"> </v>
      </c>
    </row>
    <row r="526" spans="2:10" x14ac:dyDescent="0.25">
      <c r="B526" s="13" t="s">
        <v>1012</v>
      </c>
      <c r="H526" s="50" t="s">
        <v>885</v>
      </c>
      <c r="J526" s="50" t="str">
        <f>IFERROR(VLOOKUP(Table358[[#This Row],[R&amp;D Tags]],'Old List of R&amp;D Tags vs IDI'!H:H,1,FALSE), " ")</f>
        <v xml:space="preserve"> </v>
      </c>
    </row>
    <row r="527" spans="2:10" x14ac:dyDescent="0.25">
      <c r="B527" s="13" t="s">
        <v>1004</v>
      </c>
      <c r="H527" s="50" t="s">
        <v>925</v>
      </c>
      <c r="J527" s="50" t="str">
        <f>IFERROR(VLOOKUP(Table358[[#This Row],[R&amp;D Tags]],'Old List of R&amp;D Tags vs IDI'!H:H,1,FALSE), " ")</f>
        <v xml:space="preserve"> </v>
      </c>
    </row>
    <row r="528" spans="2:10" x14ac:dyDescent="0.25">
      <c r="B528" s="13" t="s">
        <v>1016</v>
      </c>
      <c r="H528" s="50" t="s">
        <v>673</v>
      </c>
      <c r="J528" s="50" t="str">
        <f>IFERROR(VLOOKUP(Table358[[#This Row],[R&amp;D Tags]],'Old List of R&amp;D Tags vs IDI'!H:H,1,FALSE), " ")</f>
        <v xml:space="preserve"> </v>
      </c>
    </row>
    <row r="529" spans="2:10" x14ac:dyDescent="0.25">
      <c r="B529" s="13" t="s">
        <v>1020</v>
      </c>
      <c r="H529" s="50" t="s">
        <v>929</v>
      </c>
      <c r="J529" s="50" t="str">
        <f>IFERROR(VLOOKUP(Table358[[#This Row],[R&amp;D Tags]],'Old List of R&amp;D Tags vs IDI'!H:H,1,FALSE), " ")</f>
        <v xml:space="preserve"> </v>
      </c>
    </row>
    <row r="530" spans="2:10" x14ac:dyDescent="0.25">
      <c r="B530" s="13" t="s">
        <v>1028</v>
      </c>
      <c r="H530" s="50" t="s">
        <v>829</v>
      </c>
      <c r="J530" s="50" t="str">
        <f>IFERROR(VLOOKUP(Table358[[#This Row],[R&amp;D Tags]],'Old List of R&amp;D Tags vs IDI'!H:H,1,FALSE), " ")</f>
        <v xml:space="preserve"> </v>
      </c>
    </row>
    <row r="531" spans="2:10" x14ac:dyDescent="0.25">
      <c r="B531" s="13" t="s">
        <v>942</v>
      </c>
      <c r="H531" s="50" t="s">
        <v>833</v>
      </c>
      <c r="J531" s="50" t="str">
        <f>IFERROR(VLOOKUP(Table358[[#This Row],[R&amp;D Tags]],'Old List of R&amp;D Tags vs IDI'!H:H,1,FALSE), " ")</f>
        <v xml:space="preserve"> </v>
      </c>
    </row>
    <row r="532" spans="2:10" x14ac:dyDescent="0.25">
      <c r="B532" s="13" t="s">
        <v>950</v>
      </c>
      <c r="H532" s="50" t="s">
        <v>677</v>
      </c>
      <c r="J532" s="50" t="str">
        <f>IFERROR(VLOOKUP(Table358[[#This Row],[R&amp;D Tags]],'Old List of R&amp;D Tags vs IDI'!H:H,1,FALSE), " ")</f>
        <v xml:space="preserve"> </v>
      </c>
    </row>
    <row r="533" spans="2:10" x14ac:dyDescent="0.25">
      <c r="B533" s="13" t="s">
        <v>954</v>
      </c>
      <c r="H533" s="50" t="s">
        <v>877</v>
      </c>
      <c r="J533" s="50" t="str">
        <f>IFERROR(VLOOKUP(Table358[[#This Row],[R&amp;D Tags]],'Old List of R&amp;D Tags vs IDI'!H:H,1,FALSE), " ")</f>
        <v xml:space="preserve"> </v>
      </c>
    </row>
    <row r="534" spans="2:10" ht="15.75" x14ac:dyDescent="0.25">
      <c r="B534" s="16" t="s">
        <v>38</v>
      </c>
      <c r="H534" s="50" t="s">
        <v>825</v>
      </c>
      <c r="J534" s="50" t="str">
        <f>IFERROR(VLOOKUP(Table358[[#This Row],[R&amp;D Tags]],'Old List of R&amp;D Tags vs IDI'!H:H,1,FALSE), " ")</f>
        <v xml:space="preserve"> </v>
      </c>
    </row>
    <row r="535" spans="2:10" ht="15.75" x14ac:dyDescent="0.25">
      <c r="B535" s="11" t="s">
        <v>1674</v>
      </c>
      <c r="H535" s="50" t="s">
        <v>837</v>
      </c>
      <c r="J535" s="50" t="str">
        <f>IFERROR(VLOOKUP(Table358[[#This Row],[R&amp;D Tags]],'Old List of R&amp;D Tags vs IDI'!H:H,1,FALSE), " ")</f>
        <v xml:space="preserve"> </v>
      </c>
    </row>
    <row r="536" spans="2:10" x14ac:dyDescent="0.25">
      <c r="B536" s="19" t="s">
        <v>59</v>
      </c>
      <c r="H536" s="50" t="s">
        <v>376</v>
      </c>
      <c r="J536" s="50" t="str">
        <f>IFERROR(VLOOKUP(Table358[[#This Row],[R&amp;D Tags]],'Old List of R&amp;D Tags vs IDI'!H:H,1,FALSE), " ")</f>
        <v xml:space="preserve"> </v>
      </c>
    </row>
    <row r="537" spans="2:10" x14ac:dyDescent="0.25">
      <c r="B537" s="13" t="s">
        <v>1675</v>
      </c>
      <c r="H537" s="50" t="s">
        <v>376</v>
      </c>
      <c r="J537" s="50" t="str">
        <f>IFERROR(VLOOKUP(Table358[[#This Row],[R&amp;D Tags]],'Old List of R&amp;D Tags vs IDI'!H:H,1,FALSE), " ")</f>
        <v xml:space="preserve"> </v>
      </c>
    </row>
    <row r="538" spans="2:10" x14ac:dyDescent="0.25">
      <c r="B538" s="13" t="s">
        <v>1676</v>
      </c>
      <c r="H538" s="50" t="s">
        <v>881</v>
      </c>
      <c r="J538" s="50" t="str">
        <f>IFERROR(VLOOKUP(Table358[[#This Row],[R&amp;D Tags]],'Old List of R&amp;D Tags vs IDI'!H:H,1,FALSE), " ")</f>
        <v xml:space="preserve"> </v>
      </c>
    </row>
    <row r="539" spans="2:10" x14ac:dyDescent="0.25">
      <c r="B539" s="13" t="s">
        <v>1677</v>
      </c>
      <c r="H539" s="50" t="s">
        <v>368</v>
      </c>
      <c r="J539" s="50" t="str">
        <f>IFERROR(VLOOKUP(Table358[[#This Row],[R&amp;D Tags]],'Old List of R&amp;D Tags vs IDI'!H:H,1,FALSE), " ")</f>
        <v xml:space="preserve"> </v>
      </c>
    </row>
    <row r="540" spans="2:10" x14ac:dyDescent="0.25">
      <c r="B540" s="13" t="s">
        <v>68</v>
      </c>
      <c r="H540" s="50" t="s">
        <v>326</v>
      </c>
      <c r="J540" s="50" t="str">
        <f>IFERROR(VLOOKUP(Table358[[#This Row],[R&amp;D Tags]],'Old List of R&amp;D Tags vs IDI'!H:H,1,FALSE), " ")</f>
        <v xml:space="preserve"> </v>
      </c>
    </row>
    <row r="541" spans="2:10" x14ac:dyDescent="0.25">
      <c r="B541" s="13" t="s">
        <v>1678</v>
      </c>
      <c r="H541" s="50" t="s">
        <v>260</v>
      </c>
      <c r="J541" s="50" t="str">
        <f>IFERROR(VLOOKUP(Table358[[#This Row],[R&amp;D Tags]],'Old List of R&amp;D Tags vs IDI'!H:H,1,FALSE), " ")</f>
        <v xml:space="preserve"> </v>
      </c>
    </row>
    <row r="542" spans="2:10" x14ac:dyDescent="0.25">
      <c r="B542" s="13" t="s">
        <v>1679</v>
      </c>
      <c r="H542" s="50" t="s">
        <v>260</v>
      </c>
      <c r="J542" s="50" t="str">
        <f>IFERROR(VLOOKUP(Table358[[#This Row],[R&amp;D Tags]],'Old List of R&amp;D Tags vs IDI'!H:H,1,FALSE), " ")</f>
        <v xml:space="preserve"> </v>
      </c>
    </row>
    <row r="543" spans="2:10" x14ac:dyDescent="0.25">
      <c r="B543" s="13" t="s">
        <v>1680</v>
      </c>
      <c r="H543" s="50" t="s">
        <v>364</v>
      </c>
      <c r="J543" s="50" t="str">
        <f>IFERROR(VLOOKUP(Table358[[#This Row],[R&amp;D Tags]],'Old List of R&amp;D Tags vs IDI'!H:H,1,FALSE), " ")</f>
        <v xml:space="preserve"> </v>
      </c>
    </row>
    <row r="544" spans="2:10" x14ac:dyDescent="0.25">
      <c r="B544" s="13" t="s">
        <v>1681</v>
      </c>
      <c r="H544" s="50" t="s">
        <v>372</v>
      </c>
      <c r="J544" s="50" t="str">
        <f>IFERROR(VLOOKUP(Table358[[#This Row],[R&amp;D Tags]],'Old List of R&amp;D Tags vs IDI'!H:H,1,FALSE), " ")</f>
        <v xml:space="preserve"> </v>
      </c>
    </row>
    <row r="545" spans="2:10" x14ac:dyDescent="0.25">
      <c r="B545" s="13" t="s">
        <v>51</v>
      </c>
      <c r="H545" s="50" t="s">
        <v>268</v>
      </c>
      <c r="J545" s="50" t="str">
        <f>IFERROR(VLOOKUP(Table358[[#This Row],[R&amp;D Tags]],'Old List of R&amp;D Tags vs IDI'!H:H,1,FALSE), " ")</f>
        <v xml:space="preserve"> </v>
      </c>
    </row>
    <row r="546" spans="2:10" x14ac:dyDescent="0.25">
      <c r="B546" s="13" t="s">
        <v>1240</v>
      </c>
      <c r="H546" s="50" t="s">
        <v>1224</v>
      </c>
      <c r="J546" s="50" t="str">
        <f>IFERROR(VLOOKUP(Table358[[#This Row],[R&amp;D Tags]],'Old List of R&amp;D Tags vs IDI'!H:H,1,FALSE), " ")</f>
        <v xml:space="preserve"> </v>
      </c>
    </row>
    <row r="547" spans="2:10" x14ac:dyDescent="0.25">
      <c r="B547" s="13" t="s">
        <v>805</v>
      </c>
      <c r="H547" s="50" t="s">
        <v>1209</v>
      </c>
      <c r="J547" s="50" t="str">
        <f>IFERROR(VLOOKUP(Table358[[#This Row],[R&amp;D Tags]],'Old List of R&amp;D Tags vs IDI'!H:H,1,FALSE), " ")</f>
        <v xml:space="preserve"> </v>
      </c>
    </row>
    <row r="548" spans="2:10" x14ac:dyDescent="0.25">
      <c r="B548" s="13" t="s">
        <v>336</v>
      </c>
      <c r="H548" s="50" t="s">
        <v>256</v>
      </c>
      <c r="J548" s="50" t="str">
        <f>IFERROR(VLOOKUP(Table358[[#This Row],[R&amp;D Tags]],'Old List of R&amp;D Tags vs IDI'!H:H,1,FALSE), " ")</f>
        <v xml:space="preserve"> </v>
      </c>
    </row>
    <row r="549" spans="2:10" x14ac:dyDescent="0.25">
      <c r="B549" s="13" t="s">
        <v>773</v>
      </c>
      <c r="H549" s="50" t="s">
        <v>252</v>
      </c>
      <c r="J549" s="50" t="str">
        <f>IFERROR(VLOOKUP(Table358[[#This Row],[R&amp;D Tags]],'Old List of R&amp;D Tags vs IDI'!H:H,1,FALSE), " ")</f>
        <v xml:space="preserve"> </v>
      </c>
    </row>
    <row r="550" spans="2:10" x14ac:dyDescent="0.25">
      <c r="B550" s="13" t="s">
        <v>797</v>
      </c>
      <c r="H550" s="50" t="s">
        <v>13</v>
      </c>
      <c r="J550" s="50" t="str">
        <f>IFERROR(VLOOKUP(Table358[[#This Row],[R&amp;D Tags]],'Old List of R&amp;D Tags vs IDI'!H:H,1,FALSE), " ")</f>
        <v xml:space="preserve"> </v>
      </c>
    </row>
    <row r="551" spans="2:10" x14ac:dyDescent="0.25">
      <c r="B551" s="13" t="s">
        <v>813</v>
      </c>
      <c r="H551" s="50" t="s">
        <v>893</v>
      </c>
      <c r="J551" s="50" t="str">
        <f>IFERROR(VLOOKUP(Table358[[#This Row],[R&amp;D Tags]],'Old List of R&amp;D Tags vs IDI'!H:H,1,FALSE), " ")</f>
        <v xml:space="preserve"> </v>
      </c>
    </row>
    <row r="552" spans="2:10" x14ac:dyDescent="0.25">
      <c r="B552" s="13" t="s">
        <v>359</v>
      </c>
      <c r="H552" s="50" t="s">
        <v>897</v>
      </c>
      <c r="J552" s="50" t="str">
        <f>IFERROR(VLOOKUP(Table358[[#This Row],[R&amp;D Tags]],'Old List of R&amp;D Tags vs IDI'!H:H,1,FALSE), " ")</f>
        <v xml:space="preserve"> </v>
      </c>
    </row>
    <row r="553" spans="2:10" x14ac:dyDescent="0.25">
      <c r="B553" s="13" t="s">
        <v>355</v>
      </c>
      <c r="H553" s="50" t="s">
        <v>901</v>
      </c>
      <c r="J553" s="50" t="str">
        <f>IFERROR(VLOOKUP(Table358[[#This Row],[R&amp;D Tags]],'Old List of R&amp;D Tags vs IDI'!H:H,1,FALSE), " ")</f>
        <v xml:space="preserve"> </v>
      </c>
    </row>
    <row r="554" spans="2:10" x14ac:dyDescent="0.25">
      <c r="B554" s="13" t="s">
        <v>889</v>
      </c>
      <c r="H554" s="50" t="s">
        <v>996</v>
      </c>
      <c r="J554" s="50" t="str">
        <f>IFERROR(VLOOKUP(Table358[[#This Row],[R&amp;D Tags]],'Old List of R&amp;D Tags vs IDI'!H:H,1,FALSE), " ")</f>
        <v xml:space="preserve"> </v>
      </c>
    </row>
    <row r="555" spans="2:10" x14ac:dyDescent="0.25">
      <c r="B555" s="13" t="s">
        <v>1046</v>
      </c>
      <c r="H555" s="50" t="s">
        <v>992</v>
      </c>
      <c r="J555" s="50" t="str">
        <f>IFERROR(VLOOKUP(Table358[[#This Row],[R&amp;D Tags]],'Old List of R&amp;D Tags vs IDI'!H:H,1,FALSE), " ")</f>
        <v xml:space="preserve"> </v>
      </c>
    </row>
    <row r="556" spans="2:10" x14ac:dyDescent="0.25">
      <c r="B556" s="13" t="s">
        <v>970</v>
      </c>
      <c r="H556" s="50" t="s">
        <v>1000</v>
      </c>
      <c r="J556" s="50" t="str">
        <f>IFERROR(VLOOKUP(Table358[[#This Row],[R&amp;D Tags]],'Old List of R&amp;D Tags vs IDI'!H:H,1,FALSE), " ")</f>
        <v xml:space="preserve"> </v>
      </c>
    </row>
    <row r="557" spans="2:10" x14ac:dyDescent="0.25">
      <c r="B557" s="13" t="s">
        <v>976</v>
      </c>
      <c r="H557" s="50" t="s">
        <v>980</v>
      </c>
      <c r="J557" s="50" t="str">
        <f>IFERROR(VLOOKUP(Table358[[#This Row],[R&amp;D Tags]],'Old List of R&amp;D Tags vs IDI'!H:H,1,FALSE), " ")</f>
        <v xml:space="preserve"> </v>
      </c>
    </row>
    <row r="558" spans="2:10" x14ac:dyDescent="0.25">
      <c r="B558" s="13" t="s">
        <v>966</v>
      </c>
      <c r="H558" s="50" t="s">
        <v>984</v>
      </c>
      <c r="J558" s="50" t="str">
        <f>IFERROR(VLOOKUP(Table358[[#This Row],[R&amp;D Tags]],'Old List of R&amp;D Tags vs IDI'!H:H,1,FALSE), " ")</f>
        <v xml:space="preserve"> </v>
      </c>
    </row>
    <row r="559" spans="2:10" x14ac:dyDescent="0.25">
      <c r="B559" s="13" t="s">
        <v>753</v>
      </c>
      <c r="H559" s="50" t="s">
        <v>938</v>
      </c>
      <c r="J559" s="50" t="str">
        <f>IFERROR(VLOOKUP(Table358[[#This Row],[R&amp;D Tags]],'Old List of R&amp;D Tags vs IDI'!H:H,1,FALSE), " ")</f>
        <v xml:space="preserve"> </v>
      </c>
    </row>
    <row r="560" spans="2:10" x14ac:dyDescent="0.25">
      <c r="B560" s="13" t="s">
        <v>753</v>
      </c>
      <c r="H560" s="50" t="s">
        <v>946</v>
      </c>
      <c r="J560" s="50" t="str">
        <f>IFERROR(VLOOKUP(Table358[[#This Row],[R&amp;D Tags]],'Old List of R&amp;D Tags vs IDI'!H:H,1,FALSE), " ")</f>
        <v xml:space="preserve"> </v>
      </c>
    </row>
    <row r="561" spans="2:10" x14ac:dyDescent="0.25">
      <c r="B561" s="13" t="s">
        <v>64</v>
      </c>
      <c r="H561" s="50" t="s">
        <v>988</v>
      </c>
      <c r="J561" s="50" t="str">
        <f>IFERROR(VLOOKUP(Table358[[#This Row],[R&amp;D Tags]],'Old List of R&amp;D Tags vs IDI'!H:H,1,FALSE), " ")</f>
        <v xml:space="preserve"> </v>
      </c>
    </row>
    <row r="562" spans="2:10" x14ac:dyDescent="0.25">
      <c r="B562" s="10" t="s">
        <v>1682</v>
      </c>
      <c r="H562" s="50" t="s">
        <v>1008</v>
      </c>
      <c r="J562" s="50" t="str">
        <f>IFERROR(VLOOKUP(Table358[[#This Row],[R&amp;D Tags]],'Old List of R&amp;D Tags vs IDI'!H:H,1,FALSE), " ")</f>
        <v xml:space="preserve"> </v>
      </c>
    </row>
    <row r="563" spans="2:10" x14ac:dyDescent="0.25">
      <c r="B563" s="13" t="s">
        <v>1683</v>
      </c>
      <c r="H563" s="50" t="s">
        <v>1012</v>
      </c>
      <c r="J563" s="50" t="str">
        <f>IFERROR(VLOOKUP(Table358[[#This Row],[R&amp;D Tags]],'Old List of R&amp;D Tags vs IDI'!H:H,1,FALSE), " ")</f>
        <v xml:space="preserve"> </v>
      </c>
    </row>
    <row r="564" spans="2:10" ht="15.75" x14ac:dyDescent="0.25">
      <c r="B564" s="24" t="s">
        <v>9</v>
      </c>
      <c r="H564" s="50" t="s">
        <v>1004</v>
      </c>
      <c r="J564" s="50" t="str">
        <f>IFERROR(VLOOKUP(Table358[[#This Row],[R&amp;D Tags]],'Old List of R&amp;D Tags vs IDI'!H:H,1,FALSE), " ")</f>
        <v xml:space="preserve"> </v>
      </c>
    </row>
    <row r="565" spans="2:10" x14ac:dyDescent="0.25">
      <c r="B565" s="13" t="s">
        <v>1684</v>
      </c>
      <c r="H565" s="50" t="s">
        <v>1016</v>
      </c>
      <c r="J565" s="50" t="str">
        <f>IFERROR(VLOOKUP(Table358[[#This Row],[R&amp;D Tags]],'Old List of R&amp;D Tags vs IDI'!H:H,1,FALSE), " ")</f>
        <v xml:space="preserve"> </v>
      </c>
    </row>
    <row r="566" spans="2:10" ht="31.5" x14ac:dyDescent="0.25">
      <c r="B566" s="14" t="s">
        <v>1685</v>
      </c>
      <c r="H566" s="50" t="s">
        <v>1020</v>
      </c>
      <c r="J566" s="50" t="str">
        <f>IFERROR(VLOOKUP(Table358[[#This Row],[R&amp;D Tags]],'Old List of R&amp;D Tags vs IDI'!H:H,1,FALSE), " ")</f>
        <v xml:space="preserve"> </v>
      </c>
    </row>
    <row r="567" spans="2:10" ht="60" x14ac:dyDescent="0.25">
      <c r="B567" s="8" t="s">
        <v>1686</v>
      </c>
      <c r="H567" s="50" t="s">
        <v>1028</v>
      </c>
      <c r="J567" s="50" t="str">
        <f>IFERROR(VLOOKUP(Table358[[#This Row],[R&amp;D Tags]],'Old List of R&amp;D Tags vs IDI'!H:H,1,FALSE), " ")</f>
        <v xml:space="preserve"> </v>
      </c>
    </row>
    <row r="568" spans="2:10" ht="45" x14ac:dyDescent="0.25">
      <c r="B568" s="8" t="s">
        <v>1687</v>
      </c>
      <c r="H568" s="50" t="s">
        <v>942</v>
      </c>
      <c r="J568" s="50" t="str">
        <f>IFERROR(VLOOKUP(Table358[[#This Row],[R&amp;D Tags]],'Old List of R&amp;D Tags vs IDI'!H:H,1,FALSE), " ")</f>
        <v xml:space="preserve"> </v>
      </c>
    </row>
    <row r="569" spans="2:10" ht="60" x14ac:dyDescent="0.25">
      <c r="B569" s="8" t="s">
        <v>1688</v>
      </c>
      <c r="H569" s="50" t="s">
        <v>950</v>
      </c>
      <c r="J569" s="50" t="str">
        <f>IFERROR(VLOOKUP(Table358[[#This Row],[R&amp;D Tags]],'Old List of R&amp;D Tags vs IDI'!H:H,1,FALSE), " ")</f>
        <v xml:space="preserve"> </v>
      </c>
    </row>
    <row r="570" spans="2:10" ht="60" x14ac:dyDescent="0.25">
      <c r="B570" s="8" t="s">
        <v>1689</v>
      </c>
      <c r="H570" s="50" t="s">
        <v>954</v>
      </c>
      <c r="J570" s="50" t="str">
        <f>IFERROR(VLOOKUP(Table358[[#This Row],[R&amp;D Tags]],'Old List of R&amp;D Tags vs IDI'!H:H,1,FALSE), " ")</f>
        <v xml:space="preserve"> </v>
      </c>
    </row>
    <row r="571" spans="2:10" ht="60" x14ac:dyDescent="0.25">
      <c r="B571" s="8" t="s">
        <v>1689</v>
      </c>
      <c r="H571" s="50" t="s">
        <v>59</v>
      </c>
      <c r="J571" s="50" t="str">
        <f>IFERROR(VLOOKUP(Table358[[#This Row],[R&amp;D Tags]],'Old List of R&amp;D Tags vs IDI'!H:H,1,FALSE), " ")</f>
        <v xml:space="preserve"> </v>
      </c>
    </row>
    <row r="572" spans="2:10" ht="75" x14ac:dyDescent="0.25">
      <c r="B572" s="8" t="s">
        <v>1690</v>
      </c>
      <c r="H572" s="50" t="s">
        <v>68</v>
      </c>
      <c r="J572" s="50" t="str">
        <f>IFERROR(VLOOKUP(Table358[[#This Row],[R&amp;D Tags]],'Old List of R&amp;D Tags vs IDI'!H:H,1,FALSE), " ")</f>
        <v xml:space="preserve"> </v>
      </c>
    </row>
    <row r="573" spans="2:10" ht="45" x14ac:dyDescent="0.25">
      <c r="B573" s="12" t="s">
        <v>1691</v>
      </c>
      <c r="H573" s="50" t="s">
        <v>51</v>
      </c>
      <c r="J573" s="50" t="str">
        <f>IFERROR(VLOOKUP(Table358[[#This Row],[R&amp;D Tags]],'Old List of R&amp;D Tags vs IDI'!H:H,1,FALSE), " ")</f>
        <v xml:space="preserve"> </v>
      </c>
    </row>
    <row r="574" spans="2:10" ht="90" x14ac:dyDescent="0.25">
      <c r="B574" s="12" t="s">
        <v>1692</v>
      </c>
      <c r="H574" s="50" t="s">
        <v>1240</v>
      </c>
      <c r="J574" s="50" t="str">
        <f>IFERROR(VLOOKUP(Table358[[#This Row],[R&amp;D Tags]],'Old List of R&amp;D Tags vs IDI'!H:H,1,FALSE), " ")</f>
        <v xml:space="preserve"> </v>
      </c>
    </row>
    <row r="575" spans="2:10" ht="30" x14ac:dyDescent="0.25">
      <c r="B575" s="12" t="s">
        <v>1693</v>
      </c>
      <c r="H575" s="50" t="s">
        <v>805</v>
      </c>
      <c r="J575" s="50" t="str">
        <f>IFERROR(VLOOKUP(Table358[[#This Row],[R&amp;D Tags]],'Old List of R&amp;D Tags vs IDI'!H:H,1,FALSE), " ")</f>
        <v xml:space="preserve"> </v>
      </c>
    </row>
    <row r="576" spans="2:10" ht="45" x14ac:dyDescent="0.25">
      <c r="B576" s="12" t="s">
        <v>1694</v>
      </c>
      <c r="H576" s="50" t="s">
        <v>336</v>
      </c>
      <c r="J576" s="50" t="str">
        <f>IFERROR(VLOOKUP(Table358[[#This Row],[R&amp;D Tags]],'Old List of R&amp;D Tags vs IDI'!H:H,1,FALSE), " ")</f>
        <v xml:space="preserve"> </v>
      </c>
    </row>
    <row r="577" spans="2:10" ht="45" x14ac:dyDescent="0.25">
      <c r="B577" s="42" t="s">
        <v>1695</v>
      </c>
      <c r="H577" s="50" t="s">
        <v>773</v>
      </c>
      <c r="J577" s="50" t="str">
        <f>IFERROR(VLOOKUP(Table358[[#This Row],[R&amp;D Tags]],'Old List of R&amp;D Tags vs IDI'!H:H,1,FALSE), " ")</f>
        <v xml:space="preserve"> </v>
      </c>
    </row>
    <row r="578" spans="2:10" ht="60" x14ac:dyDescent="0.25">
      <c r="B578" s="43" t="s">
        <v>1696</v>
      </c>
      <c r="H578" s="50" t="s">
        <v>797</v>
      </c>
      <c r="J578" s="50" t="str">
        <f>IFERROR(VLOOKUP(Table358[[#This Row],[R&amp;D Tags]],'Old List of R&amp;D Tags vs IDI'!H:H,1,FALSE), " ")</f>
        <v xml:space="preserve"> </v>
      </c>
    </row>
    <row r="579" spans="2:10" ht="30" x14ac:dyDescent="0.25">
      <c r="B579" s="25" t="s">
        <v>1697</v>
      </c>
      <c r="H579" s="50" t="s">
        <v>813</v>
      </c>
      <c r="J579" s="50" t="str">
        <f>IFERROR(VLOOKUP(Table358[[#This Row],[R&amp;D Tags]],'Old List of R&amp;D Tags vs IDI'!H:H,1,FALSE), " ")</f>
        <v xml:space="preserve"> </v>
      </c>
    </row>
    <row r="580" spans="2:10" ht="90" x14ac:dyDescent="0.25">
      <c r="B580" s="25" t="s">
        <v>1698</v>
      </c>
      <c r="H580" s="50" t="s">
        <v>359</v>
      </c>
      <c r="J580" s="50" t="str">
        <f>IFERROR(VLOOKUP(Table358[[#This Row],[R&amp;D Tags]],'Old List of R&amp;D Tags vs IDI'!H:H,1,FALSE), " ")</f>
        <v xml:space="preserve"> </v>
      </c>
    </row>
    <row r="581" spans="2:10" ht="31.5" x14ac:dyDescent="0.25">
      <c r="B581" s="14" t="s">
        <v>1699</v>
      </c>
      <c r="H581" s="50" t="s">
        <v>355</v>
      </c>
      <c r="J581" s="50" t="str">
        <f>IFERROR(VLOOKUP(Table358[[#This Row],[R&amp;D Tags]],'Old List of R&amp;D Tags vs IDI'!H:H,1,FALSE), " ")</f>
        <v xml:space="preserve"> </v>
      </c>
    </row>
    <row r="582" spans="2:10" ht="31.5" x14ac:dyDescent="0.25">
      <c r="B582" s="14" t="s">
        <v>1700</v>
      </c>
      <c r="H582" s="50" t="s">
        <v>889</v>
      </c>
      <c r="J582" s="50" t="str">
        <f>IFERROR(VLOOKUP(Table358[[#This Row],[R&amp;D Tags]],'Old List of R&amp;D Tags vs IDI'!H:H,1,FALSE), " ")</f>
        <v xml:space="preserve"> </v>
      </c>
    </row>
    <row r="583" spans="2:10" ht="47.25" x14ac:dyDescent="0.25">
      <c r="B583" s="14" t="s">
        <v>1701</v>
      </c>
      <c r="H583" s="50" t="s">
        <v>1046</v>
      </c>
      <c r="J583" s="50" t="str">
        <f>IFERROR(VLOOKUP(Table358[[#This Row],[R&amp;D Tags]],'Old List of R&amp;D Tags vs IDI'!H:H,1,FALSE), " ")</f>
        <v xml:space="preserve"> </v>
      </c>
    </row>
    <row r="584" spans="2:10" ht="31.5" x14ac:dyDescent="0.25">
      <c r="B584" s="11" t="s">
        <v>1702</v>
      </c>
      <c r="H584" s="50" t="s">
        <v>970</v>
      </c>
      <c r="J584" s="50" t="str">
        <f>IFERROR(VLOOKUP(Table358[[#This Row],[R&amp;D Tags]],'Old List of R&amp;D Tags vs IDI'!H:H,1,FALSE), " ")</f>
        <v xml:space="preserve"> </v>
      </c>
    </row>
    <row r="585" spans="2:10" ht="47.25" x14ac:dyDescent="0.25">
      <c r="B585" s="14" t="s">
        <v>1703</v>
      </c>
      <c r="H585" s="50" t="s">
        <v>976</v>
      </c>
      <c r="J585" s="50" t="str">
        <f>IFERROR(VLOOKUP(Table358[[#This Row],[R&amp;D Tags]],'Old List of R&amp;D Tags vs IDI'!H:H,1,FALSE), " ")</f>
        <v xml:space="preserve"> </v>
      </c>
    </row>
    <row r="586" spans="2:10" ht="31.5" x14ac:dyDescent="0.25">
      <c r="B586" s="14" t="s">
        <v>1704</v>
      </c>
      <c r="H586" s="50" t="s">
        <v>966</v>
      </c>
      <c r="J586" s="50" t="str">
        <f>IFERROR(VLOOKUP(Table358[[#This Row],[R&amp;D Tags]],'Old List of R&amp;D Tags vs IDI'!H:H,1,FALSE), " ")</f>
        <v xml:space="preserve"> </v>
      </c>
    </row>
    <row r="587" spans="2:10" ht="30" x14ac:dyDescent="0.25">
      <c r="B587" s="15" t="s">
        <v>1705</v>
      </c>
      <c r="H587" s="50" t="s">
        <v>753</v>
      </c>
      <c r="J587" s="50" t="str">
        <f>IFERROR(VLOOKUP(Table358[[#This Row],[R&amp;D Tags]],'Old List of R&amp;D Tags vs IDI'!H:H,1,FALSE), " ")</f>
        <v xml:space="preserve"> </v>
      </c>
    </row>
    <row r="588" spans="2:10" ht="63" x14ac:dyDescent="0.25">
      <c r="B588" s="14" t="s">
        <v>1706</v>
      </c>
      <c r="H588" s="50" t="s">
        <v>753</v>
      </c>
      <c r="J588" s="50" t="str">
        <f>IFERROR(VLOOKUP(Table358[[#This Row],[R&amp;D Tags]],'Old List of R&amp;D Tags vs IDI'!H:H,1,FALSE), " ")</f>
        <v xml:space="preserve"> </v>
      </c>
    </row>
    <row r="589" spans="2:10" x14ac:dyDescent="0.25">
      <c r="B589" s="13" t="s">
        <v>1707</v>
      </c>
      <c r="H589" s="50" t="s">
        <v>64</v>
      </c>
      <c r="J589" s="50" t="str">
        <f>IFERROR(VLOOKUP(Table358[[#This Row],[R&amp;D Tags]],'Old List of R&amp;D Tags vs IDI'!H:H,1,FALSE), " ")</f>
        <v xml:space="preserve"> </v>
      </c>
    </row>
    <row r="590" spans="2:10" x14ac:dyDescent="0.25">
      <c r="B590" s="9"/>
    </row>
    <row r="591" spans="2:10" x14ac:dyDescent="0.25">
      <c r="B591" s="9"/>
    </row>
    <row r="592" spans="2:10" x14ac:dyDescent="0.25">
      <c r="B592" s="9"/>
    </row>
    <row r="593" spans="2:2" x14ac:dyDescent="0.25">
      <c r="B593" s="9"/>
    </row>
    <row r="594" spans="2:2" x14ac:dyDescent="0.25">
      <c r="B594" s="9"/>
    </row>
    <row r="595" spans="2:2" x14ac:dyDescent="0.25">
      <c r="B595" s="9"/>
    </row>
    <row r="596" spans="2:2" x14ac:dyDescent="0.25">
      <c r="B596" s="9"/>
    </row>
    <row r="597" spans="2:2" x14ac:dyDescent="0.25">
      <c r="B597" s="9"/>
    </row>
    <row r="598" spans="2:2" x14ac:dyDescent="0.25">
      <c r="B598" s="13"/>
    </row>
    <row r="599" spans="2:2" x14ac:dyDescent="0.25">
      <c r="B599" s="9"/>
    </row>
    <row r="600" spans="2:2" x14ac:dyDescent="0.25">
      <c r="B600" s="9"/>
    </row>
    <row r="601" spans="2:2" x14ac:dyDescent="0.25">
      <c r="B601" s="9"/>
    </row>
    <row r="602" spans="2:2" x14ac:dyDescent="0.25">
      <c r="B602" s="9"/>
    </row>
    <row r="603" spans="2:2" x14ac:dyDescent="0.25">
      <c r="B603" s="41"/>
    </row>
    <row r="604" spans="2:2" x14ac:dyDescent="0.25">
      <c r="B604" s="36"/>
    </row>
    <row r="605" spans="2:2" x14ac:dyDescent="0.25">
      <c r="B605" s="36"/>
    </row>
    <row r="606" spans="2:2" x14ac:dyDescent="0.25">
      <c r="B606" s="38"/>
    </row>
    <row r="607" spans="2:2" x14ac:dyDescent="0.25">
      <c r="B607" s="38"/>
    </row>
    <row r="608" spans="2:2" x14ac:dyDescent="0.25">
      <c r="B608" s="9"/>
    </row>
    <row r="609" spans="2:2" x14ac:dyDescent="0.25">
      <c r="B609" s="9"/>
    </row>
    <row r="610" spans="2:2" x14ac:dyDescent="0.25">
      <c r="B610" s="9"/>
    </row>
    <row r="611" spans="2:2" x14ac:dyDescent="0.25">
      <c r="B611" s="9"/>
    </row>
    <row r="612" spans="2:2" x14ac:dyDescent="0.25">
      <c r="B612" s="9"/>
    </row>
    <row r="613" spans="2:2" x14ac:dyDescent="0.25">
      <c r="B613" s="9"/>
    </row>
    <row r="614" spans="2:2" x14ac:dyDescent="0.25">
      <c r="B614" s="9"/>
    </row>
    <row r="615" spans="2:2" x14ac:dyDescent="0.25">
      <c r="B615" s="9"/>
    </row>
    <row r="616" spans="2:2" x14ac:dyDescent="0.25">
      <c r="B616" s="9"/>
    </row>
    <row r="617" spans="2:2" x14ac:dyDescent="0.25">
      <c r="B617" s="9"/>
    </row>
    <row r="618" spans="2:2" x14ac:dyDescent="0.25">
      <c r="B618" s="9"/>
    </row>
    <row r="619" spans="2:2" x14ac:dyDescent="0.25">
      <c r="B619" s="9"/>
    </row>
    <row r="620" spans="2:2" x14ac:dyDescent="0.25">
      <c r="B620" s="41"/>
    </row>
  </sheetData>
  <pageMargins left="0.7" right="0.7" top="0.75" bottom="0.75" header="0.3" footer="0.3"/>
  <pageSetup orientation="portrait" r:id="rId1"/>
  <headerFooter>
    <oddFooter>&amp;L_x000D_&amp;1#&amp;"Calibri"&amp;10&amp;K000000 DS Smith – INTERNAL</oddFooter>
  </headerFooter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E5AD-F134-4CF2-8ACA-75BE99987B2B}">
  <dimension ref="B1:F589"/>
  <sheetViews>
    <sheetView topLeftCell="B301" workbookViewId="0">
      <selection activeCell="D308" sqref="D308"/>
    </sheetView>
  </sheetViews>
  <sheetFormatPr defaultRowHeight="15" x14ac:dyDescent="0.25"/>
  <cols>
    <col min="2" max="2" width="175.42578125" bestFit="1" customWidth="1"/>
    <col min="3" max="3" width="32.42578125" bestFit="1" customWidth="1"/>
    <col min="4" max="4" width="28.5703125" bestFit="1" customWidth="1"/>
    <col min="6" max="6" width="17.5703125" bestFit="1" customWidth="1"/>
  </cols>
  <sheetData>
    <row r="1" spans="2:6" x14ac:dyDescent="0.25">
      <c r="B1" t="s">
        <v>1727</v>
      </c>
      <c r="C1" t="s">
        <v>1728</v>
      </c>
      <c r="D1" t="s">
        <v>1729</v>
      </c>
      <c r="F1" s="6" t="s">
        <v>1730</v>
      </c>
    </row>
    <row r="2" spans="2:6" x14ac:dyDescent="0.25">
      <c r="B2" s="52" t="s">
        <v>1469</v>
      </c>
      <c r="C2" t="s">
        <v>9</v>
      </c>
      <c r="D2" t="str">
        <f>IFERROR(VLOOKUP(Table2[[#This Row],[TAGS NEW R&amp;D]],B:B,1,FALSE), " ")</f>
        <v>QO-REEL-ID-CUR-CALC</v>
      </c>
      <c r="F2" s="6" t="s">
        <v>1731</v>
      </c>
    </row>
    <row r="3" spans="2:6" x14ac:dyDescent="0.25">
      <c r="B3" s="53" t="s">
        <v>1611</v>
      </c>
      <c r="C3" t="s">
        <v>64</v>
      </c>
      <c r="D3" t="str">
        <f>IFERROR(VLOOKUP(Table2[[#This Row],[TAGS NEW R&amp;D]],B:B,1,FALSE), " ")</f>
        <v>QMS11_SCN1QM1-X</v>
      </c>
      <c r="F3" s="6" t="s">
        <v>1732</v>
      </c>
    </row>
    <row r="4" spans="2:6" x14ac:dyDescent="0.25">
      <c r="B4" s="53" t="s">
        <v>1594</v>
      </c>
      <c r="C4" t="s">
        <v>753</v>
      </c>
      <c r="D4" t="str">
        <f>IFERROR(VLOOKUP(Table2[[#This Row],[TAGS NEW R&amp;D]],B:B,1,FALSE), " ")</f>
        <v>QMS11_MIC_MSTSCN2-X1</v>
      </c>
      <c r="F4" s="6" t="s">
        <v>1733</v>
      </c>
    </row>
    <row r="5" spans="2:6" x14ac:dyDescent="0.25">
      <c r="B5" s="53" t="s">
        <v>1267</v>
      </c>
      <c r="C5" t="s">
        <v>966</v>
      </c>
      <c r="D5" t="str">
        <f>IFERROR(VLOOKUP(Table2[[#This Row],[TAGS NEW R&amp;D]],B:B,1,FALSE), " ")</f>
        <v>QMS11_2-303-NC071-X</v>
      </c>
    </row>
    <row r="6" spans="2:6" x14ac:dyDescent="0.25">
      <c r="B6" s="52" t="s">
        <v>180</v>
      </c>
      <c r="C6" t="s">
        <v>976</v>
      </c>
      <c r="D6" t="str">
        <f>IFERROR(VLOOKUP(Table2[[#This Row],[TAGS NEW R&amp;D]],B:B,1,FALSE), " ")</f>
        <v>QMS11_2-238-NC071-X</v>
      </c>
    </row>
    <row r="7" spans="2:6" x14ac:dyDescent="0.25">
      <c r="B7" s="52" t="s">
        <v>1205</v>
      </c>
      <c r="C7" t="s">
        <v>970</v>
      </c>
      <c r="D7" t="str">
        <f>IFERROR(VLOOKUP(Table2[[#This Row],[TAGS NEW R&amp;D]],B:B,1,FALSE), " ")</f>
        <v>QMS11_2-203-NC071-X</v>
      </c>
    </row>
    <row r="8" spans="2:6" x14ac:dyDescent="0.25">
      <c r="B8" s="53" t="s">
        <v>233</v>
      </c>
      <c r="C8" t="s">
        <v>1046</v>
      </c>
      <c r="D8" t="str">
        <f>IFERROR(VLOOKUP(Table2[[#This Row],[TAGS NEW R&amp;D]],B:B,1,FALSE), " ")</f>
        <v>QMS11_2-138-NC071-X</v>
      </c>
    </row>
    <row r="9" spans="2:6" x14ac:dyDescent="0.25">
      <c r="B9" s="53" t="s">
        <v>1701</v>
      </c>
      <c r="C9" t="s">
        <v>889</v>
      </c>
      <c r="D9" t="str">
        <f>IFERROR(VLOOKUP(Table2[[#This Row],[TAGS NEW R&amp;D]],B:B,1,FALSE), " ")</f>
        <v>QMS11_2-103-NC071-X</v>
      </c>
    </row>
    <row r="10" spans="2:6" x14ac:dyDescent="0.25">
      <c r="B10" s="52" t="s">
        <v>1560</v>
      </c>
      <c r="C10" t="s">
        <v>355</v>
      </c>
      <c r="D10" t="str">
        <f>IFERROR(VLOOKUP(Table2[[#This Row],[TAGS NEW R&amp;D]],B:B,1,FALSE), " ")</f>
        <v>QMS11_2-044-V511-N_FU</v>
      </c>
    </row>
    <row r="11" spans="2:6" x14ac:dyDescent="0.25">
      <c r="B11" s="53" t="s">
        <v>1556</v>
      </c>
      <c r="C11" t="s">
        <v>359</v>
      </c>
      <c r="D11" t="str">
        <f>IFERROR(VLOOKUP(Table2[[#This Row],[TAGS NEW R&amp;D]],B:B,1,FALSE), " ")</f>
        <v>QMS11_2-044-V411-N_FU</v>
      </c>
    </row>
    <row r="12" spans="2:6" x14ac:dyDescent="0.25">
      <c r="B12" s="52" t="s">
        <v>1339</v>
      </c>
      <c r="C12" t="s">
        <v>813</v>
      </c>
      <c r="D12" t="str">
        <f>IFERROR(VLOOKUP(Table2[[#This Row],[TAGS NEW R&amp;D]],B:B,1,FALSE), " ")</f>
        <v>QMS11_2-044-V311-N_FU</v>
      </c>
    </row>
    <row r="13" spans="2:6" x14ac:dyDescent="0.25">
      <c r="B13" s="52" t="s">
        <v>1315</v>
      </c>
      <c r="C13" t="s">
        <v>797</v>
      </c>
      <c r="D13" t="str">
        <f>IFERROR(VLOOKUP(Table2[[#This Row],[TAGS NEW R&amp;D]],B:B,1,FALSE), " ")</f>
        <v>QMS11_2-044-V211-N_FU</v>
      </c>
    </row>
    <row r="14" spans="2:6" x14ac:dyDescent="0.25">
      <c r="B14" s="52" t="s">
        <v>1201</v>
      </c>
      <c r="C14" t="s">
        <v>773</v>
      </c>
      <c r="D14" t="str">
        <f>IFERROR(VLOOKUP(Table2[[#This Row],[TAGS NEW R&amp;D]],B:B,1,FALSE), " ")</f>
        <v>QMS11_2-044-V111-N1</v>
      </c>
    </row>
    <row r="15" spans="2:6" x14ac:dyDescent="0.25">
      <c r="B15" s="52" t="s">
        <v>1555</v>
      </c>
      <c r="C15" t="s">
        <v>336</v>
      </c>
      <c r="D15" t="str">
        <f>IFERROR(VLOOKUP(Table2[[#This Row],[TAGS NEW R&amp;D]],B:B,1,FALSE), " ")</f>
        <v>QMS11_2-044-MC433-X</v>
      </c>
    </row>
    <row r="16" spans="2:6" x14ac:dyDescent="0.25">
      <c r="B16" s="52" t="s">
        <v>1704</v>
      </c>
      <c r="C16" t="s">
        <v>805</v>
      </c>
      <c r="D16" t="str">
        <f>IFERROR(VLOOKUP(Table2[[#This Row],[TAGS NEW R&amp;D]],B:B,1,FALSE), " ")</f>
        <v>QMS11_2-044-MC333-W</v>
      </c>
    </row>
    <row r="17" spans="2:4" x14ac:dyDescent="0.25">
      <c r="B17" s="53" t="s">
        <v>1573</v>
      </c>
      <c r="C17" t="s">
        <v>1240</v>
      </c>
      <c r="D17" t="str">
        <f>IFERROR(VLOOKUP(Table2[[#This Row],[TAGS NEW R&amp;D]],B:B,1,FALSE), " ")</f>
        <v>QMS11_2-008-QC041.05.01-X</v>
      </c>
    </row>
    <row r="18" spans="2:4" x14ac:dyDescent="0.25">
      <c r="B18" s="52" t="s">
        <v>1610</v>
      </c>
      <c r="C18" t="s">
        <v>51</v>
      </c>
      <c r="D18" t="str">
        <f>IFERROR(VLOOKUP(Table2[[#This Row],[TAGS NEW R&amp;D]],B:B,1,FALSE), " ")</f>
        <v>QLS-REEL-WIDTH-CUR</v>
      </c>
    </row>
    <row r="19" spans="2:4" x14ac:dyDescent="0.25">
      <c r="B19" s="52" t="s">
        <v>1311</v>
      </c>
      <c r="C19" t="s">
        <v>68</v>
      </c>
      <c r="D19" t="str">
        <f>IFERROR(VLOOKUP(Table2[[#This Row],[TAGS NEW R&amp;D]],B:B,1,FALSE), " ")</f>
        <v>QLS-REEL-MOISTURE1-CUR</v>
      </c>
    </row>
    <row r="20" spans="2:4" x14ac:dyDescent="0.25">
      <c r="B20" s="52" t="s">
        <v>1500</v>
      </c>
      <c r="C20" t="s">
        <v>59</v>
      </c>
      <c r="D20" t="str">
        <f>IFERROR(VLOOKUP(Table2[[#This Row],[TAGS NEW R&amp;D]],B:B,1,FALSE), " ")</f>
        <v>PRODUCTION-RATE</v>
      </c>
    </row>
    <row r="21" spans="2:4" x14ac:dyDescent="0.25">
      <c r="B21" s="53" t="s">
        <v>1504</v>
      </c>
      <c r="C21" t="s">
        <v>38</v>
      </c>
      <c r="D21" t="str">
        <f>IFERROR(VLOOKUP(Table2[[#This Row],[TAGS NEW R&amp;D]],B:B,1,FALSE), " ")</f>
        <v>PM1_ABRISS-ERKENNUNG</v>
      </c>
    </row>
    <row r="22" spans="2:4" x14ac:dyDescent="0.25">
      <c r="B22" s="52" t="s">
        <v>1535</v>
      </c>
      <c r="C22" t="s">
        <v>954</v>
      </c>
      <c r="D22" t="str">
        <f>IFERROR(VLOOKUP(Table2[[#This Row],[TAGS NEW R&amp;D]],B:B,1,FALSE), " ")</f>
        <v>PM1_2-346-YP043-X</v>
      </c>
    </row>
    <row r="23" spans="2:4" x14ac:dyDescent="0.25">
      <c r="B23" s="53" t="s">
        <v>1689</v>
      </c>
      <c r="C23" t="s">
        <v>950</v>
      </c>
      <c r="D23" t="str">
        <f>IFERROR(VLOOKUP(Table2[[#This Row],[TAGS NEW R&amp;D]],B:B,1,FALSE), " ")</f>
        <v>PM1_2-246-YP043_02-X</v>
      </c>
    </row>
    <row r="24" spans="2:4" x14ac:dyDescent="0.25">
      <c r="B24" s="53" t="s">
        <v>1367</v>
      </c>
      <c r="C24" t="s">
        <v>942</v>
      </c>
      <c r="D24" t="str">
        <f>IFERROR(VLOOKUP(Table2[[#This Row],[TAGS NEW R&amp;D]],B:B,1,FALSE), " ")</f>
        <v>PM1_2-246-YP043_01-X</v>
      </c>
    </row>
    <row r="25" spans="2:4" x14ac:dyDescent="0.25">
      <c r="B25" s="53" t="s">
        <v>218</v>
      </c>
      <c r="C25" t="s">
        <v>1028</v>
      </c>
      <c r="D25" t="str">
        <f>IFERROR(VLOOKUP(Table2[[#This Row],[TAGS NEW R&amp;D]],B:B,1,FALSE), " ")</f>
        <v>PM1_2-238-PI091-X</v>
      </c>
    </row>
    <row r="26" spans="2:4" x14ac:dyDescent="0.25">
      <c r="B26" s="53" t="s">
        <v>1157</v>
      </c>
      <c r="C26" t="s">
        <v>1020</v>
      </c>
      <c r="D26" t="str">
        <f>IFERROR(VLOOKUP(Table2[[#This Row],[TAGS NEW R&amp;D]],B:B,1,FALSE), " ")</f>
        <v>PM1_2-238-PC097-X</v>
      </c>
    </row>
    <row r="27" spans="2:4" x14ac:dyDescent="0.25">
      <c r="B27" s="52" t="s">
        <v>244</v>
      </c>
      <c r="C27" t="s">
        <v>1016</v>
      </c>
      <c r="D27" t="str">
        <f>IFERROR(VLOOKUP(Table2[[#This Row],[TAGS NEW R&amp;D]],B:B,1,FALSE), " ")</f>
        <v>PM1_2-238-PC096-X</v>
      </c>
    </row>
    <row r="28" spans="2:4" x14ac:dyDescent="0.25">
      <c r="B28" s="53" t="s">
        <v>248</v>
      </c>
      <c r="C28" t="s">
        <v>1004</v>
      </c>
      <c r="D28" t="str">
        <f>IFERROR(VLOOKUP(Table2[[#This Row],[TAGS NEW R&amp;D]],B:B,1,FALSE), " ")</f>
        <v>PM1_2-238-PC095-X</v>
      </c>
    </row>
    <row r="29" spans="2:4" x14ac:dyDescent="0.25">
      <c r="B29" s="53" t="s">
        <v>1271</v>
      </c>
      <c r="C29" t="s">
        <v>1012</v>
      </c>
      <c r="D29" t="str">
        <f>IFERROR(VLOOKUP(Table2[[#This Row],[TAGS NEW R&amp;D]],B:B,1,FALSE), " ")</f>
        <v>PM1_2-238-PC094-X</v>
      </c>
    </row>
    <row r="30" spans="2:4" x14ac:dyDescent="0.25">
      <c r="B30" s="52" t="s">
        <v>1363</v>
      </c>
      <c r="C30" t="s">
        <v>1008</v>
      </c>
      <c r="D30" t="str">
        <f>IFERROR(VLOOKUP(Table2[[#This Row],[TAGS NEW R&amp;D]],B:B,1,FALSE), " ")</f>
        <v>PM1_2-238-PC093-X</v>
      </c>
    </row>
    <row r="31" spans="2:4" x14ac:dyDescent="0.25">
      <c r="B31" s="53" t="s">
        <v>1706</v>
      </c>
      <c r="C31" t="s">
        <v>988</v>
      </c>
      <c r="D31" t="str">
        <f>IFERROR(VLOOKUP(Table2[[#This Row],[TAGS NEW R&amp;D]],B:B,1,FALSE), " ")</f>
        <v>PM1_2-238-PC092-X</v>
      </c>
    </row>
    <row r="32" spans="2:4" x14ac:dyDescent="0.25">
      <c r="B32" s="52" t="s">
        <v>1691</v>
      </c>
      <c r="C32" t="s">
        <v>946</v>
      </c>
      <c r="D32" t="str">
        <f>IFERROR(VLOOKUP(Table2[[#This Row],[TAGS NEW R&amp;D]],B:B,1,FALSE), " ")</f>
        <v>PM1_2-146-YP043_02-X</v>
      </c>
    </row>
    <row r="33" spans="2:4" x14ac:dyDescent="0.25">
      <c r="B33" s="52" t="s">
        <v>1295</v>
      </c>
      <c r="C33" t="s">
        <v>938</v>
      </c>
      <c r="D33" t="str">
        <f>IFERROR(VLOOKUP(Table2[[#This Row],[TAGS NEW R&amp;D]],B:B,1,FALSE), " ")</f>
        <v>PM1_2-146-YP043_01-X</v>
      </c>
    </row>
    <row r="34" spans="2:4" x14ac:dyDescent="0.25">
      <c r="B34" s="52" t="s">
        <v>1343</v>
      </c>
      <c r="C34" t="s">
        <v>984</v>
      </c>
      <c r="D34" t="str">
        <f>IFERROR(VLOOKUP(Table2[[#This Row],[TAGS NEW R&amp;D]],B:B,1,FALSE), " ")</f>
        <v>PM1_2-138-PC095-X</v>
      </c>
    </row>
    <row r="35" spans="2:4" x14ac:dyDescent="0.25">
      <c r="B35" s="53" t="s">
        <v>1307</v>
      </c>
      <c r="C35" t="s">
        <v>980</v>
      </c>
      <c r="D35" t="str">
        <f>IFERROR(VLOOKUP(Table2[[#This Row],[TAGS NEW R&amp;D]],B:B,1,FALSE), " ")</f>
        <v>PM1_2-138-PC093-X</v>
      </c>
    </row>
    <row r="36" spans="2:4" x14ac:dyDescent="0.25">
      <c r="B36" s="52" t="s">
        <v>1148</v>
      </c>
      <c r="C36" t="s">
        <v>1000</v>
      </c>
      <c r="D36" t="str">
        <f>IFERROR(VLOOKUP(Table2[[#This Row],[TAGS NEW R&amp;D]],B:B,1,FALSE), " ")</f>
        <v>PM1_2-138-FI096-X</v>
      </c>
    </row>
    <row r="37" spans="2:4" x14ac:dyDescent="0.25">
      <c r="B37" s="52" t="s">
        <v>1601</v>
      </c>
      <c r="C37" t="s">
        <v>992</v>
      </c>
      <c r="D37" t="str">
        <f>IFERROR(VLOOKUP(Table2[[#This Row],[TAGS NEW R&amp;D]],B:B,1,FALSE), " ")</f>
        <v>PM1_2-138-FI094-X</v>
      </c>
    </row>
    <row r="38" spans="2:4" x14ac:dyDescent="0.25">
      <c r="B38" s="53" t="s">
        <v>1602</v>
      </c>
      <c r="C38" t="s">
        <v>996</v>
      </c>
      <c r="D38" t="str">
        <f>IFERROR(VLOOKUP(Table2[[#This Row],[TAGS NEW R&amp;D]],B:B,1,FALSE), " ")</f>
        <v>PM1_2-138-FI092-X</v>
      </c>
    </row>
    <row r="39" spans="2:4" x14ac:dyDescent="0.25">
      <c r="B39" s="52" t="s">
        <v>1707</v>
      </c>
      <c r="C39" t="s">
        <v>901</v>
      </c>
      <c r="D39" t="str">
        <f>IFERROR(VLOOKUP(Table2[[#This Row],[TAGS NEW R&amp;D]],B:B,1,FALSE), " ")</f>
        <v>PM1_2-103-PI092-X</v>
      </c>
    </row>
    <row r="40" spans="2:4" x14ac:dyDescent="0.25">
      <c r="B40" s="53" t="s">
        <v>1705</v>
      </c>
      <c r="C40" t="s">
        <v>897</v>
      </c>
      <c r="D40" t="str">
        <f>IFERROR(VLOOKUP(Table2[[#This Row],[TAGS NEW R&amp;D]],B:B,1,FALSE), " ")</f>
        <v>PM1_2-103-PI091-X</v>
      </c>
    </row>
    <row r="41" spans="2:4" x14ac:dyDescent="0.25">
      <c r="B41" s="52" t="s">
        <v>1702</v>
      </c>
      <c r="C41" t="s">
        <v>893</v>
      </c>
      <c r="D41" t="str">
        <f>IFERROR(VLOOKUP(Table2[[#This Row],[TAGS NEW R&amp;D]],B:B,1,FALSE), " ")</f>
        <v>PM1_2-103-PI090-X</v>
      </c>
    </row>
    <row r="42" spans="2:4" x14ac:dyDescent="0.25">
      <c r="B42" s="53" t="s">
        <v>1599</v>
      </c>
      <c r="C42" t="s">
        <v>13</v>
      </c>
      <c r="D42" t="str">
        <f>IFERROR(VLOOKUP(Table2[[#This Row],[TAGS NEW R&amp;D]],B:B,1,FALSE), " ")</f>
        <v>GRADE_NAME</v>
      </c>
    </row>
    <row r="43" spans="2:4" x14ac:dyDescent="0.25">
      <c r="B43" s="52" t="s">
        <v>1626</v>
      </c>
      <c r="C43" t="s">
        <v>252</v>
      </c>
      <c r="D43" t="str">
        <f>IFERROR(VLOOKUP(Table2[[#This Row],[TAGS NEW R&amp;D]],B:B,1,FALSE), " ")</f>
        <v>GMC_A4_G1LBE20CF702_WF</v>
      </c>
    </row>
    <row r="44" spans="2:4" x14ac:dyDescent="0.25">
      <c r="B44" s="53" t="s">
        <v>1625</v>
      </c>
      <c r="C44" t="s">
        <v>256</v>
      </c>
      <c r="D44" t="str">
        <f>IFERROR(VLOOKUP(Table2[[#This Row],[TAGS NEW R&amp;D]],B:B,1,FALSE), " ")</f>
        <v>GMC_A1_G1LDA10CF701_WF</v>
      </c>
    </row>
    <row r="45" spans="2:4" x14ac:dyDescent="0.25">
      <c r="B45" s="53" t="s">
        <v>1517</v>
      </c>
      <c r="C45" t="s">
        <v>1209</v>
      </c>
      <c r="D45" t="str">
        <f>IFERROR(VLOOKUP(Table2[[#This Row],[TAGS NEW R&amp;D]],B:B,1,FALSE), " ")</f>
        <v>FC031.03-TROCKENAUSSCHUSS</v>
      </c>
    </row>
    <row r="46" spans="2:4" x14ac:dyDescent="0.25">
      <c r="B46" s="53" t="s">
        <v>1523</v>
      </c>
      <c r="C46" t="s">
        <v>1224</v>
      </c>
      <c r="D46" t="str">
        <f>IFERROR(VLOOKUP(Table2[[#This Row],[TAGS NEW R&amp;D]],B:B,1,FALSE), " ")</f>
        <v>3-000-FC064_01-X</v>
      </c>
    </row>
    <row r="47" spans="2:4" x14ac:dyDescent="0.25">
      <c r="B47" s="52" t="s">
        <v>1622</v>
      </c>
      <c r="C47" t="s">
        <v>268</v>
      </c>
      <c r="D47" t="str">
        <f>IFERROR(VLOOKUP(Table2[[#This Row],[TAGS NEW R&amp;D]],B:B,1,FALSE), " ")</f>
        <v>2-704-UZ001-U</v>
      </c>
    </row>
    <row r="48" spans="2:4" x14ac:dyDescent="0.25">
      <c r="B48" s="52" t="s">
        <v>1553</v>
      </c>
      <c r="C48" t="s">
        <v>372</v>
      </c>
      <c r="D48" t="str">
        <f>IFERROR(VLOOKUP(Table2[[#This Row],[TAGS NEW R&amp;D]],B:B,1,FALSE), " ")</f>
        <v>2-704-UZ001-O</v>
      </c>
    </row>
    <row r="49" spans="2:4" x14ac:dyDescent="0.25">
      <c r="B49" s="52" t="s">
        <v>1557</v>
      </c>
      <c r="C49" t="s">
        <v>364</v>
      </c>
      <c r="D49" t="str">
        <f>IFERROR(VLOOKUP(Table2[[#This Row],[TAGS NEW R&amp;D]],B:B,1,FALSE), " ")</f>
        <v>2-704-NI011-X</v>
      </c>
    </row>
    <row r="50" spans="2:4" x14ac:dyDescent="0.25">
      <c r="B50" s="52" t="s">
        <v>1624</v>
      </c>
      <c r="C50" t="s">
        <v>260</v>
      </c>
      <c r="D50" t="str">
        <f>IFERROR(VLOOKUP(Table2[[#This Row],[TAGS NEW R&amp;D]],B:B,1,FALSE), " ")</f>
        <v>2-604-UZ001-O</v>
      </c>
    </row>
    <row r="51" spans="2:4" x14ac:dyDescent="0.25">
      <c r="B51" s="52" t="s">
        <v>1548</v>
      </c>
      <c r="C51" t="s">
        <v>326</v>
      </c>
      <c r="D51" t="str">
        <f>IFERROR(VLOOKUP(Table2[[#This Row],[TAGS NEW R&amp;D]],B:B,1,FALSE), " ")</f>
        <v>2-604-UZ001-D9</v>
      </c>
    </row>
    <row r="52" spans="2:4" x14ac:dyDescent="0.25">
      <c r="B52" s="53" t="s">
        <v>1548</v>
      </c>
      <c r="C52" t="s">
        <v>368</v>
      </c>
      <c r="D52" t="str">
        <f>IFERROR(VLOOKUP(Table2[[#This Row],[TAGS NEW R&amp;D]],B:B,1,FALSE), " ")</f>
        <v>2-604-NI010-X</v>
      </c>
    </row>
    <row r="53" spans="2:4" x14ac:dyDescent="0.25">
      <c r="B53" s="53" t="s">
        <v>1692</v>
      </c>
      <c r="C53" t="s">
        <v>881</v>
      </c>
      <c r="D53" t="str">
        <f>IFERROR(VLOOKUP(Table2[[#This Row],[TAGS NEW R&amp;D]],B:B,1,FALSE), " ")</f>
        <v>2-504-UZ001-U</v>
      </c>
    </row>
    <row r="54" spans="2:4" x14ac:dyDescent="0.25">
      <c r="B54" s="53" t="s">
        <v>1543</v>
      </c>
      <c r="C54" t="s">
        <v>376</v>
      </c>
      <c r="D54" t="str">
        <f>IFERROR(VLOOKUP(Table2[[#This Row],[TAGS NEW R&amp;D]],B:B,1,FALSE), " ")</f>
        <v>2-504-UZ001-O</v>
      </c>
    </row>
    <row r="55" spans="2:4" x14ac:dyDescent="0.25">
      <c r="B55" s="52" t="s">
        <v>1697</v>
      </c>
      <c r="C55" t="s">
        <v>837</v>
      </c>
      <c r="D55" t="str">
        <f>IFERROR(VLOOKUP(Table2[[#This Row],[TAGS NEW R&amp;D]],B:B,1,FALSE), " ")</f>
        <v>2-504-NI011-X</v>
      </c>
    </row>
    <row r="56" spans="2:4" x14ac:dyDescent="0.25">
      <c r="B56" s="53" t="s">
        <v>1676</v>
      </c>
      <c r="C56" t="s">
        <v>825</v>
      </c>
      <c r="D56" t="str">
        <f>IFERROR(VLOOKUP(Table2[[#This Row],[TAGS NEW R&amp;D]],B:B,1,FALSE), " ")</f>
        <v>2-504-NI010-X</v>
      </c>
    </row>
    <row r="57" spans="2:4" x14ac:dyDescent="0.25">
      <c r="B57" s="52" t="s">
        <v>1683</v>
      </c>
      <c r="C57" t="s">
        <v>877</v>
      </c>
      <c r="D57" t="str">
        <f>IFERROR(VLOOKUP(Table2[[#This Row],[TAGS NEW R&amp;D]],B:B,1,FALSE), " ")</f>
        <v>2-404-UZ001-U</v>
      </c>
    </row>
    <row r="58" spans="2:4" x14ac:dyDescent="0.25">
      <c r="B58" s="52" t="s">
        <v>1596</v>
      </c>
      <c r="C58" t="s">
        <v>677</v>
      </c>
      <c r="D58" t="str">
        <f>IFERROR(VLOOKUP(Table2[[#This Row],[TAGS NEW R&amp;D]],B:B,1,FALSE), " ")</f>
        <v>2-404-UZ001-O</v>
      </c>
    </row>
    <row r="59" spans="2:4" x14ac:dyDescent="0.25">
      <c r="B59" s="53" t="s">
        <v>1682</v>
      </c>
      <c r="C59" t="s">
        <v>833</v>
      </c>
      <c r="D59" t="str">
        <f>IFERROR(VLOOKUP(Table2[[#This Row],[TAGS NEW R&amp;D]],B:B,1,FALSE), " ")</f>
        <v>2-404-NI010-X</v>
      </c>
    </row>
    <row r="60" spans="2:4" x14ac:dyDescent="0.25">
      <c r="B60" s="52" t="s">
        <v>1579</v>
      </c>
      <c r="C60" t="s">
        <v>829</v>
      </c>
      <c r="D60" t="str">
        <f>IFERROR(VLOOKUP(Table2[[#This Row],[TAGS NEW R&amp;D]],B:B,1,FALSE), " ")</f>
        <v>2-404-NC011-X</v>
      </c>
    </row>
    <row r="61" spans="2:4" x14ac:dyDescent="0.25">
      <c r="B61" s="52" t="s">
        <v>1693</v>
      </c>
      <c r="C61" t="s">
        <v>929</v>
      </c>
      <c r="D61" t="str">
        <f>IFERROR(VLOOKUP(Table2[[#This Row],[TAGS NEW R&amp;D]],B:B,1,FALSE), " ")</f>
        <v>2-346-FI050-X</v>
      </c>
    </row>
    <row r="62" spans="2:4" x14ac:dyDescent="0.25">
      <c r="B62" s="53" t="s">
        <v>1600</v>
      </c>
      <c r="C62" t="s">
        <v>673</v>
      </c>
      <c r="D62" t="str">
        <f>IFERROR(VLOOKUP(Table2[[#This Row],[TAGS NEW R&amp;D]],B:B,1,FALSE), " ")</f>
        <v>2-304-UZ001-D9</v>
      </c>
    </row>
    <row r="63" spans="2:4" x14ac:dyDescent="0.25">
      <c r="B63" s="53" t="s">
        <v>1694</v>
      </c>
      <c r="C63" t="s">
        <v>925</v>
      </c>
      <c r="D63" t="str">
        <f>IFERROR(VLOOKUP(Table2[[#This Row],[TAGS NEW R&amp;D]],B:B,1,FALSE), " ")</f>
        <v>2-246-FI050-X</v>
      </c>
    </row>
    <row r="64" spans="2:4" x14ac:dyDescent="0.25">
      <c r="B64" s="52" t="s">
        <v>1690</v>
      </c>
      <c r="C64" t="s">
        <v>885</v>
      </c>
      <c r="D64" t="str">
        <f>IFERROR(VLOOKUP(Table2[[#This Row],[TAGS NEW R&amp;D]],B:B,1,FALSE), " ")</f>
        <v>2-238-UZ001-D4</v>
      </c>
    </row>
    <row r="65" spans="2:4" x14ac:dyDescent="0.25">
      <c r="B65" s="52" t="s">
        <v>227</v>
      </c>
      <c r="C65" t="s">
        <v>1024</v>
      </c>
      <c r="D65" t="str">
        <f>IFERROR(VLOOKUP(Table2[[#This Row],[TAGS NEW R&amp;D]],B:B,1,FALSE), " ")</f>
        <v>2-238-PI090-X</v>
      </c>
    </row>
    <row r="66" spans="2:4" x14ac:dyDescent="0.25">
      <c r="B66" s="52" t="s">
        <v>1487</v>
      </c>
      <c r="C66" t="s">
        <v>669</v>
      </c>
      <c r="D66" t="str">
        <f>IFERROR(VLOOKUP(Table2[[#This Row],[TAGS NEW R&amp;D]],B:B,1,FALSE), " ")</f>
        <v>2-204-UZ001-D9</v>
      </c>
    </row>
    <row r="67" spans="2:4" x14ac:dyDescent="0.25">
      <c r="B67" s="52" t="s">
        <v>1205</v>
      </c>
      <c r="C67" t="s">
        <v>909</v>
      </c>
      <c r="D67" t="str">
        <f>IFERROR(VLOOKUP(Table2[[#This Row],[TAGS NEW R&amp;D]],B:B,1,FALSE), " ")</f>
        <v>2-203-PI084-X</v>
      </c>
    </row>
    <row r="68" spans="2:4" x14ac:dyDescent="0.25">
      <c r="B68" s="53" t="s">
        <v>1698</v>
      </c>
      <c r="C68" t="s">
        <v>865</v>
      </c>
      <c r="D68" t="str">
        <f>IFERROR(VLOOKUP(Table2[[#This Row],[TAGS NEW R&amp;D]],B:B,1,FALSE), " ")</f>
        <v>2-199-PI074-X</v>
      </c>
    </row>
    <row r="69" spans="2:4" x14ac:dyDescent="0.25">
      <c r="B69" s="52" t="s">
        <v>1201</v>
      </c>
      <c r="C69" t="s">
        <v>861</v>
      </c>
      <c r="D69" t="str">
        <f>IFERROR(VLOOKUP(Table2[[#This Row],[TAGS NEW R&amp;D]],B:B,1,FALSE), " ")</f>
        <v>2-199-PI073-X</v>
      </c>
    </row>
    <row r="70" spans="2:4" x14ac:dyDescent="0.25">
      <c r="B70" s="53" t="s">
        <v>1703</v>
      </c>
      <c r="C70" t="s">
        <v>857</v>
      </c>
      <c r="D70" t="str">
        <f>IFERROR(VLOOKUP(Table2[[#This Row],[TAGS NEW R&amp;D]],B:B,1,FALSE), " ")</f>
        <v>2-199-PI072-X</v>
      </c>
    </row>
    <row r="71" spans="2:4" x14ac:dyDescent="0.25">
      <c r="B71" s="52" t="s">
        <v>1331</v>
      </c>
      <c r="C71" t="s">
        <v>853</v>
      </c>
      <c r="D71" t="str">
        <f>IFERROR(VLOOKUP(Table2[[#This Row],[TAGS NEW R&amp;D]],B:B,1,FALSE), " ")</f>
        <v>2-199-PI071-X</v>
      </c>
    </row>
    <row r="72" spans="2:4" x14ac:dyDescent="0.25">
      <c r="B72" s="53" t="s">
        <v>1688</v>
      </c>
      <c r="C72" t="s">
        <v>849</v>
      </c>
      <c r="D72" t="str">
        <f>IFERROR(VLOOKUP(Table2[[#This Row],[TAGS NEW R&amp;D]],B:B,1,FALSE), " ")</f>
        <v>2-199-PI066-X</v>
      </c>
    </row>
    <row r="73" spans="2:4" x14ac:dyDescent="0.25">
      <c r="B73" s="52" t="s">
        <v>1684</v>
      </c>
      <c r="C73" t="s">
        <v>845</v>
      </c>
      <c r="D73" t="str">
        <f>IFERROR(VLOOKUP(Table2[[#This Row],[TAGS NEW R&amp;D]],B:B,1,FALSE), " ")</f>
        <v>2-199-PI065-X</v>
      </c>
    </row>
    <row r="74" spans="2:4" x14ac:dyDescent="0.25">
      <c r="B74" s="53" t="s">
        <v>1686</v>
      </c>
      <c r="C74" t="s">
        <v>841</v>
      </c>
      <c r="D74" t="str">
        <f>IFERROR(VLOOKUP(Table2[[#This Row],[TAGS NEW R&amp;D]],B:B,1,FALSE), " ")</f>
        <v>2-199-PI064-X</v>
      </c>
    </row>
    <row r="75" spans="2:4" x14ac:dyDescent="0.25">
      <c r="B75" s="53" t="s">
        <v>1685</v>
      </c>
      <c r="C75" t="s">
        <v>873</v>
      </c>
      <c r="D75" t="str">
        <f>IFERROR(VLOOKUP(Table2[[#This Row],[TAGS NEW R&amp;D]],B:B,1,FALSE), " ")</f>
        <v>2-199-PI002-X</v>
      </c>
    </row>
    <row r="76" spans="2:4" x14ac:dyDescent="0.25">
      <c r="B76" s="52" t="s">
        <v>1687</v>
      </c>
      <c r="C76" t="s">
        <v>869</v>
      </c>
      <c r="D76" t="str">
        <f>IFERROR(VLOOKUP(Table2[[#This Row],[TAGS NEW R&amp;D]],B:B,1,FALSE), " ")</f>
        <v>2-199-PI001-X</v>
      </c>
    </row>
    <row r="77" spans="2:4" x14ac:dyDescent="0.25">
      <c r="B77" s="52" t="s">
        <v>1696</v>
      </c>
      <c r="C77" t="s">
        <v>921</v>
      </c>
      <c r="D77" t="str">
        <f>IFERROR(VLOOKUP(Table2[[#This Row],[TAGS NEW R&amp;D]],B:B,1,FALSE), " ")</f>
        <v>2-146-FI050-X</v>
      </c>
    </row>
    <row r="78" spans="2:4" x14ac:dyDescent="0.25">
      <c r="B78" s="52" t="s">
        <v>1490</v>
      </c>
      <c r="C78" t="s">
        <v>661</v>
      </c>
      <c r="D78" t="str">
        <f>IFERROR(VLOOKUP(Table2[[#This Row],[TAGS NEW R&amp;D]],B:B,1,FALSE), " ")</f>
        <v>2-104-UZ001-D9</v>
      </c>
    </row>
    <row r="79" spans="2:4" x14ac:dyDescent="0.25">
      <c r="B79" s="53" t="s">
        <v>1205</v>
      </c>
      <c r="C79" t="s">
        <v>905</v>
      </c>
      <c r="D79" t="str">
        <f>IFERROR(VLOOKUP(Table2[[#This Row],[TAGS NEW R&amp;D]],B:B,1,FALSE), " ")</f>
        <v>2-103-PC084-X</v>
      </c>
    </row>
    <row r="80" spans="2:4" x14ac:dyDescent="0.25">
      <c r="B80" s="53" t="s">
        <v>1689</v>
      </c>
      <c r="C80" t="s">
        <v>934</v>
      </c>
      <c r="D80" t="str">
        <f>IFERROR(VLOOKUP(Table2[[#This Row],[TAGS NEW R&amp;D]],B:B,1,FALSE), " ")</f>
        <v>2-103-FI050-X</v>
      </c>
    </row>
    <row r="81" spans="2:4" x14ac:dyDescent="0.25">
      <c r="B81" s="52" t="s">
        <v>1525</v>
      </c>
      <c r="C81" t="s">
        <v>589</v>
      </c>
      <c r="D81" t="str">
        <f>IFERROR(VLOOKUP(Table2[[#This Row],[TAGS NEW R&amp;D]],B:B,1,FALSE), " ")</f>
        <v>2-076-TI050_01-X</v>
      </c>
    </row>
    <row r="82" spans="2:4" x14ac:dyDescent="0.25">
      <c r="B82" s="53" t="s">
        <v>1529</v>
      </c>
      <c r="C82" t="s">
        <v>576</v>
      </c>
      <c r="D82" t="str">
        <f>IFERROR(VLOOKUP(Table2[[#This Row],[TAGS NEW R&amp;D]],B:B,1,FALSE), " ")</f>
        <v>2-076-TI040_01-X</v>
      </c>
    </row>
    <row r="83" spans="2:4" x14ac:dyDescent="0.25">
      <c r="B83" s="53" t="s">
        <v>1563</v>
      </c>
      <c r="C83" t="s">
        <v>560</v>
      </c>
      <c r="D83" t="str">
        <f>IFERROR(VLOOKUP(Table2[[#This Row],[TAGS NEW R&amp;D]],B:B,1,FALSE), " ")</f>
        <v>2-076-TC030_01-X</v>
      </c>
    </row>
    <row r="84" spans="2:4" x14ac:dyDescent="0.25">
      <c r="B84" s="52" t="s">
        <v>1527</v>
      </c>
      <c r="C84" t="s">
        <v>531</v>
      </c>
      <c r="D84" t="str">
        <f>IFERROR(VLOOKUP(Table2[[#This Row],[TAGS NEW R&amp;D]],B:B,1,FALSE), " ")</f>
        <v>2-076-SCHNECKEN-X</v>
      </c>
    </row>
    <row r="85" spans="2:4" x14ac:dyDescent="0.25">
      <c r="B85" s="52" t="s">
        <v>1528</v>
      </c>
      <c r="C85" t="s">
        <v>547</v>
      </c>
      <c r="D85" t="str">
        <f>IFERROR(VLOOKUP(Table2[[#This Row],[TAGS NEW R&amp;D]],B:B,1,FALSE), " ")</f>
        <v>2-076-PI061_01-X</v>
      </c>
    </row>
    <row r="86" spans="2:4" x14ac:dyDescent="0.25">
      <c r="B86" s="52" t="s">
        <v>1533</v>
      </c>
      <c r="C86" t="s">
        <v>572</v>
      </c>
      <c r="D86" t="str">
        <f>IFERROR(VLOOKUP(Table2[[#This Row],[TAGS NEW R&amp;D]],B:B,1,FALSE), " ")</f>
        <v>2-076-PI030_01-X</v>
      </c>
    </row>
    <row r="87" spans="2:4" x14ac:dyDescent="0.25">
      <c r="B87" s="53" t="s">
        <v>1532</v>
      </c>
      <c r="C87" t="s">
        <v>551</v>
      </c>
      <c r="D87" t="str">
        <f>IFERROR(VLOOKUP(Table2[[#This Row],[TAGS NEW R&amp;D]],B:B,1,FALSE), " ")</f>
        <v>2-076-PI021_01-X</v>
      </c>
    </row>
    <row r="88" spans="2:4" x14ac:dyDescent="0.25">
      <c r="B88" s="52" t="s">
        <v>1568</v>
      </c>
      <c r="C88" t="s">
        <v>555</v>
      </c>
      <c r="D88" t="str">
        <f>IFERROR(VLOOKUP(Table2[[#This Row],[TAGS NEW R&amp;D]],B:B,1,FALSE), " ")</f>
        <v>2-076-PC070_01-X</v>
      </c>
    </row>
    <row r="89" spans="2:4" x14ac:dyDescent="0.25">
      <c r="B89" s="52" t="s">
        <v>1569</v>
      </c>
      <c r="C89" t="s">
        <v>597</v>
      </c>
      <c r="D89" t="str">
        <f>IFERROR(VLOOKUP(Table2[[#This Row],[TAGS NEW R&amp;D]],B:B,1,FALSE), " ")</f>
        <v>2-076-PC050_01-X</v>
      </c>
    </row>
    <row r="90" spans="2:4" x14ac:dyDescent="0.25">
      <c r="B90" s="52" t="s">
        <v>1570</v>
      </c>
      <c r="C90" t="s">
        <v>580</v>
      </c>
      <c r="D90" t="str">
        <f>IFERROR(VLOOKUP(Table2[[#This Row],[TAGS NEW R&amp;D]],B:B,1,FALSE), " ")</f>
        <v>2-076-PC040_01-X</v>
      </c>
    </row>
    <row r="91" spans="2:4" x14ac:dyDescent="0.25">
      <c r="B91" s="53" t="s">
        <v>1565</v>
      </c>
      <c r="C91" t="s">
        <v>585</v>
      </c>
      <c r="D91" t="str">
        <f>IFERROR(VLOOKUP(Table2[[#This Row],[TAGS NEW R&amp;D]],B:B,1,FALSE), " ")</f>
        <v>2-076-LI050_01-X</v>
      </c>
    </row>
    <row r="92" spans="2:4" x14ac:dyDescent="0.25">
      <c r="B92" s="53" t="s">
        <v>1511</v>
      </c>
      <c r="C92" t="s">
        <v>535</v>
      </c>
      <c r="D92" t="str">
        <f>IFERROR(VLOOKUP(Table2[[#This Row],[TAGS NEW R&amp;D]],B:B,1,FALSE), " ")</f>
        <v>2-076-LC061_01-X</v>
      </c>
    </row>
    <row r="93" spans="2:4" x14ac:dyDescent="0.25">
      <c r="B93" s="52" t="s">
        <v>1519</v>
      </c>
      <c r="C93" t="s">
        <v>564</v>
      </c>
      <c r="D93" t="str">
        <f>IFERROR(VLOOKUP(Table2[[#This Row],[TAGS NEW R&amp;D]],B:B,1,FALSE), " ")</f>
        <v>2-076-LC030_01-X</v>
      </c>
    </row>
    <row r="94" spans="2:4" x14ac:dyDescent="0.25">
      <c r="B94" s="53" t="s">
        <v>1603</v>
      </c>
      <c r="C94" t="s">
        <v>511</v>
      </c>
      <c r="D94" t="str">
        <f>IFERROR(VLOOKUP(Table2[[#This Row],[TAGS NEW R&amp;D]],B:B,1,FALSE), " ")</f>
        <v>2-076-LC021_01-Y</v>
      </c>
    </row>
    <row r="95" spans="2:4" x14ac:dyDescent="0.25">
      <c r="B95" s="52" t="s">
        <v>1501</v>
      </c>
      <c r="C95" t="s">
        <v>515</v>
      </c>
      <c r="D95" t="str">
        <f>IFERROR(VLOOKUP(Table2[[#This Row],[TAGS NEW R&amp;D]],B:B,1,FALSE), " ")</f>
        <v>2-076-LC021_01-X</v>
      </c>
    </row>
    <row r="96" spans="2:4" x14ac:dyDescent="0.25">
      <c r="B96" s="52" t="s">
        <v>1612</v>
      </c>
      <c r="C96" t="s">
        <v>490</v>
      </c>
      <c r="D96" t="str">
        <f>IFERROR(VLOOKUP(Table2[[#This Row],[TAGS NEW R&amp;D]],B:B,1,FALSE), " ")</f>
        <v>2-076-LC011_01-Y</v>
      </c>
    </row>
    <row r="97" spans="2:4" x14ac:dyDescent="0.25">
      <c r="B97" s="53" t="s">
        <v>1531</v>
      </c>
      <c r="C97" t="s">
        <v>527</v>
      </c>
      <c r="D97" t="str">
        <f>IFERROR(VLOOKUP(Table2[[#This Row],[TAGS NEW R&amp;D]],B:B,1,FALSE), " ")</f>
        <v>2-076-FC065_01-X</v>
      </c>
    </row>
    <row r="98" spans="2:4" x14ac:dyDescent="0.25">
      <c r="B98" s="53" t="s">
        <v>1530</v>
      </c>
      <c r="C98" t="s">
        <v>543</v>
      </c>
      <c r="D98" t="str">
        <f>IFERROR(VLOOKUP(Table2[[#This Row],[TAGS NEW R&amp;D]],B:B,1,FALSE), " ")</f>
        <v>2-076-FC061_02-X</v>
      </c>
    </row>
    <row r="99" spans="2:4" x14ac:dyDescent="0.25">
      <c r="B99" s="52" t="s">
        <v>1512</v>
      </c>
      <c r="C99" t="s">
        <v>539</v>
      </c>
      <c r="D99" t="str">
        <f>IFERROR(VLOOKUP(Table2[[#This Row],[TAGS NEW R&amp;D]],B:B,1,FALSE), " ")</f>
        <v>2-076-FC061_01-X</v>
      </c>
    </row>
    <row r="100" spans="2:4" x14ac:dyDescent="0.25">
      <c r="B100" s="53" t="s">
        <v>1524</v>
      </c>
      <c r="C100" t="s">
        <v>593</v>
      </c>
      <c r="D100" t="str">
        <f>IFERROR(VLOOKUP(Table2[[#This Row],[TAGS NEW R&amp;D]],B:B,1,FALSE), " ")</f>
        <v>2-076-FC050_01-X</v>
      </c>
    </row>
    <row r="101" spans="2:4" x14ac:dyDescent="0.25">
      <c r="B101" s="53" t="s">
        <v>1515</v>
      </c>
      <c r="C101" t="s">
        <v>568</v>
      </c>
      <c r="D101" t="str">
        <f>IFERROR(VLOOKUP(Table2[[#This Row],[TAGS NEW R&amp;D]],B:B,1,FALSE), " ")</f>
        <v>2-076-FC030_01-X</v>
      </c>
    </row>
    <row r="102" spans="2:4" x14ac:dyDescent="0.25">
      <c r="B102" s="52" t="s">
        <v>1503</v>
      </c>
      <c r="C102" t="s">
        <v>507</v>
      </c>
      <c r="D102" t="str">
        <f>IFERROR(VLOOKUP(Table2[[#This Row],[TAGS NEW R&amp;D]],B:B,1,FALSE), " ")</f>
        <v>2-076-FC025_01-X</v>
      </c>
    </row>
    <row r="103" spans="2:4" x14ac:dyDescent="0.25">
      <c r="B103" s="52" t="s">
        <v>1605</v>
      </c>
      <c r="C103" t="s">
        <v>523</v>
      </c>
      <c r="D103" t="str">
        <f>IFERROR(VLOOKUP(Table2[[#This Row],[TAGS NEW R&amp;D]],B:B,1,FALSE), " ")</f>
        <v>2-076-FC021_02-X</v>
      </c>
    </row>
    <row r="104" spans="2:4" x14ac:dyDescent="0.25">
      <c r="B104" s="53" t="s">
        <v>1608</v>
      </c>
      <c r="C104" t="s">
        <v>519</v>
      </c>
      <c r="D104" t="str">
        <f>IFERROR(VLOOKUP(Table2[[#This Row],[TAGS NEW R&amp;D]],B:B,1,FALSE), " ")</f>
        <v>2-076-FC021_01-X</v>
      </c>
    </row>
    <row r="105" spans="2:4" x14ac:dyDescent="0.25">
      <c r="B105" s="53" t="s">
        <v>1485</v>
      </c>
      <c r="C105" t="s">
        <v>486</v>
      </c>
      <c r="D105" t="str">
        <f>IFERROR(VLOOKUP(Table2[[#This Row],[TAGS NEW R&amp;D]],B:B,1,FALSE), " ")</f>
        <v>2-076-FC015_01-X</v>
      </c>
    </row>
    <row r="106" spans="2:4" x14ac:dyDescent="0.25">
      <c r="B106" s="53" t="s">
        <v>1527</v>
      </c>
      <c r="C106" t="s">
        <v>503</v>
      </c>
      <c r="D106" t="str">
        <f>IFERROR(VLOOKUP(Table2[[#This Row],[TAGS NEW R&amp;D]],B:B,1,FALSE), " ")</f>
        <v>2-076-FC011_02-X</v>
      </c>
    </row>
    <row r="107" spans="2:4" x14ac:dyDescent="0.25">
      <c r="B107" s="52" t="s">
        <v>1606</v>
      </c>
      <c r="C107" t="s">
        <v>499</v>
      </c>
      <c r="D107" t="str">
        <f>IFERROR(VLOOKUP(Table2[[#This Row],[TAGS NEW R&amp;D]],B:B,1,FALSE), " ")</f>
        <v>2-076-FC011_01-X</v>
      </c>
    </row>
    <row r="108" spans="2:4" x14ac:dyDescent="0.25">
      <c r="B108" s="52" t="s">
        <v>1665</v>
      </c>
      <c r="C108" t="s">
        <v>124</v>
      </c>
      <c r="D108" t="str">
        <f>IFERROR(VLOOKUP(Table2[[#This Row],[TAGS NEW R&amp;D]],B:B,1,FALSE), " ")</f>
        <v>2-060-YP052_02-X</v>
      </c>
    </row>
    <row r="109" spans="2:4" x14ac:dyDescent="0.25">
      <c r="B109" s="53" t="s">
        <v>1670</v>
      </c>
      <c r="C109" t="s">
        <v>120</v>
      </c>
      <c r="D109" t="str">
        <f>IFERROR(VLOOKUP(Table2[[#This Row],[TAGS NEW R&amp;D]],B:B,1,FALSE), " ")</f>
        <v>2-060-YP052_01-X</v>
      </c>
    </row>
    <row r="110" spans="2:4" x14ac:dyDescent="0.25">
      <c r="B110" s="53" t="s">
        <v>1649</v>
      </c>
      <c r="C110" t="s">
        <v>98</v>
      </c>
      <c r="D110" t="str">
        <f>IFERROR(VLOOKUP(Table2[[#This Row],[TAGS NEW R&amp;D]],B:B,1,FALSE), " ")</f>
        <v>2-060-YP048-X</v>
      </c>
    </row>
    <row r="111" spans="2:4" x14ac:dyDescent="0.25">
      <c r="B111" s="52" t="s">
        <v>1650</v>
      </c>
      <c r="C111" t="s">
        <v>93</v>
      </c>
      <c r="D111" t="str">
        <f>IFERROR(VLOOKUP(Table2[[#This Row],[TAGS NEW R&amp;D]],B:B,1,FALSE), " ")</f>
        <v>2-060-YP045-X</v>
      </c>
    </row>
    <row r="112" spans="2:4" x14ac:dyDescent="0.25">
      <c r="B112" s="52" t="s">
        <v>1671</v>
      </c>
      <c r="C112" t="s">
        <v>118</v>
      </c>
      <c r="D112" t="str">
        <f>IFERROR(VLOOKUP(Table2[[#This Row],[TAGS NEW R&amp;D]],B:B,1,FALSE), " ")</f>
        <v>2-060-WC050_02-X</v>
      </c>
    </row>
    <row r="113" spans="2:4" x14ac:dyDescent="0.25">
      <c r="B113" s="53" t="s">
        <v>1669</v>
      </c>
      <c r="C113" t="s">
        <v>116</v>
      </c>
      <c r="D113" t="str">
        <f>IFERROR(VLOOKUP(Table2[[#This Row],[TAGS NEW R&amp;D]],B:B,1,FALSE), " ")</f>
        <v>2-060-WC050_01-X</v>
      </c>
    </row>
    <row r="114" spans="2:4" x14ac:dyDescent="0.25">
      <c r="B114" s="52" t="s">
        <v>1672</v>
      </c>
      <c r="C114" t="s">
        <v>111</v>
      </c>
      <c r="D114" t="str">
        <f>IFERROR(VLOOKUP(Table2[[#This Row],[TAGS NEW R&amp;D]],B:B,1,FALSE), " ")</f>
        <v>2-060-NI003-X</v>
      </c>
    </row>
    <row r="115" spans="2:4" x14ac:dyDescent="0.25">
      <c r="B115" s="53" t="s">
        <v>1673</v>
      </c>
      <c r="C115" t="s">
        <v>107</v>
      </c>
      <c r="D115" t="str">
        <f>IFERROR(VLOOKUP(Table2[[#This Row],[TAGS NEW R&amp;D]],B:B,1,FALSE), " ")</f>
        <v>2-060-NI002-X</v>
      </c>
    </row>
    <row r="116" spans="2:4" x14ac:dyDescent="0.25">
      <c r="B116" s="52" t="s">
        <v>1675</v>
      </c>
      <c r="C116" t="s">
        <v>103</v>
      </c>
      <c r="D116" t="str">
        <f>IFERROR(VLOOKUP(Table2[[#This Row],[TAGS NEW R&amp;D]],B:B,1,FALSE), " ")</f>
        <v>2-060-NI001-X</v>
      </c>
    </row>
    <row r="117" spans="2:4" x14ac:dyDescent="0.25">
      <c r="B117" s="52" t="s">
        <v>1551</v>
      </c>
      <c r="C117" t="s">
        <v>345</v>
      </c>
      <c r="D117" t="str">
        <f>IFERROR(VLOOKUP(Table2[[#This Row],[TAGS NEW R&amp;D]],B:B,1,FALSE), " ")</f>
        <v>2-044-TI704_NL</v>
      </c>
    </row>
    <row r="118" spans="2:4" x14ac:dyDescent="0.25">
      <c r="B118" s="53" t="s">
        <v>1327</v>
      </c>
      <c r="C118" t="s">
        <v>801</v>
      </c>
      <c r="D118" t="str">
        <f>IFERROR(VLOOKUP(Table2[[#This Row],[TAGS NEW R&amp;D]],B:B,1,FALSE), " ")</f>
        <v>2-044-TI504_NL</v>
      </c>
    </row>
    <row r="119" spans="2:4" x14ac:dyDescent="0.25">
      <c r="B119" s="53" t="s">
        <v>1678</v>
      </c>
      <c r="C119" t="s">
        <v>785</v>
      </c>
      <c r="D119" t="str">
        <f>IFERROR(VLOOKUP(Table2[[#This Row],[TAGS NEW R&amp;D]],B:B,1,FALSE), " ")</f>
        <v>2-044-TI304_NL</v>
      </c>
    </row>
    <row r="120" spans="2:4" x14ac:dyDescent="0.25">
      <c r="B120" s="52" t="s">
        <v>1481</v>
      </c>
      <c r="C120" t="s">
        <v>449</v>
      </c>
      <c r="D120" t="str">
        <f>IFERROR(VLOOKUP(Table2[[#This Row],[TAGS NEW R&amp;D]],B:B,1,FALSE), " ")</f>
        <v>2-044-TC714-X</v>
      </c>
    </row>
    <row r="121" spans="2:4" x14ac:dyDescent="0.25">
      <c r="B121" s="52" t="s">
        <v>1627</v>
      </c>
      <c r="C121" t="s">
        <v>286</v>
      </c>
      <c r="D121" t="str">
        <f>IFERROR(VLOOKUP(Table2[[#This Row],[TAGS NEW R&amp;D]],B:B,1,FALSE), " ")</f>
        <v>2-044-TC513-X</v>
      </c>
    </row>
    <row r="122" spans="2:4" x14ac:dyDescent="0.25">
      <c r="B122" s="53" t="s">
        <v>1621</v>
      </c>
      <c r="C122" t="s">
        <v>273</v>
      </c>
      <c r="D122" t="str">
        <f>IFERROR(VLOOKUP(Table2[[#This Row],[TAGS NEW R&amp;D]],B:B,1,FALSE), " ")</f>
        <v>2-044-TC413-X</v>
      </c>
    </row>
    <row r="123" spans="2:4" x14ac:dyDescent="0.25">
      <c r="B123" s="53" t="s">
        <v>1371</v>
      </c>
      <c r="C123" t="s">
        <v>809</v>
      </c>
      <c r="D123" t="str">
        <f>IFERROR(VLOOKUP(Table2[[#This Row],[TAGS NEW R&amp;D]],B:B,1,FALSE), " ")</f>
        <v>2-044-TC313-X</v>
      </c>
    </row>
    <row r="124" spans="2:4" x14ac:dyDescent="0.25">
      <c r="B124" s="53" t="s">
        <v>1275</v>
      </c>
      <c r="C124" t="s">
        <v>793</v>
      </c>
      <c r="D124" t="str">
        <f>IFERROR(VLOOKUP(Table2[[#This Row],[TAGS NEW R&amp;D]],B:B,1,FALSE), " ")</f>
        <v>2-044-TC213-X</v>
      </c>
    </row>
    <row r="125" spans="2:4" x14ac:dyDescent="0.25">
      <c r="B125" s="52" t="s">
        <v>1680</v>
      </c>
      <c r="C125" t="s">
        <v>781</v>
      </c>
      <c r="D125" t="str">
        <f>IFERROR(VLOOKUP(Table2[[#This Row],[TAGS NEW R&amp;D]],B:B,1,FALSE), " ")</f>
        <v>2-044-TC113-X</v>
      </c>
    </row>
    <row r="126" spans="2:4" x14ac:dyDescent="0.25">
      <c r="B126" s="53" t="s">
        <v>1480</v>
      </c>
      <c r="C126" t="s">
        <v>453</v>
      </c>
      <c r="D126" t="str">
        <f>IFERROR(VLOOKUP(Table2[[#This Row],[TAGS NEW R&amp;D]],B:B,1,FALSE), " ")</f>
        <v>2-044-PI712-X</v>
      </c>
    </row>
    <row r="127" spans="2:4" x14ac:dyDescent="0.25">
      <c r="B127" s="53" t="s">
        <v>1579</v>
      </c>
      <c r="C127" t="s">
        <v>350</v>
      </c>
      <c r="D127" t="str">
        <f>IFERROR(VLOOKUP(Table2[[#This Row],[TAGS NEW R&amp;D]],B:B,1,FALSE), " ")</f>
        <v>2-044-PC404-X</v>
      </c>
    </row>
    <row r="128" spans="2:4" x14ac:dyDescent="0.25">
      <c r="B128" s="53" t="s">
        <v>1464</v>
      </c>
      <c r="C128" t="s">
        <v>769</v>
      </c>
      <c r="D128" t="str">
        <f>IFERROR(VLOOKUP(Table2[[#This Row],[TAGS NEW R&amp;D]],B:B,1,FALSE), " ")</f>
        <v>2-044-PC104-X</v>
      </c>
    </row>
    <row r="129" spans="2:4" x14ac:dyDescent="0.25">
      <c r="B129" s="53" t="s">
        <v>1551</v>
      </c>
      <c r="C129" t="s">
        <v>340</v>
      </c>
      <c r="D129" t="str">
        <f>IFERROR(VLOOKUP(Table2[[#This Row],[TAGS NEW R&amp;D]],B:B,1,FALSE), " ")</f>
        <v>2-044-MC533-X</v>
      </c>
    </row>
    <row r="130" spans="2:4" x14ac:dyDescent="0.25">
      <c r="B130" s="52" t="s">
        <v>1375</v>
      </c>
      <c r="C130" t="s">
        <v>789</v>
      </c>
      <c r="D130" t="str">
        <f>IFERROR(VLOOKUP(Table2[[#This Row],[TAGS NEW R&amp;D]],B:B,1,FALSE), " ")</f>
        <v>2-044-MC233-X</v>
      </c>
    </row>
    <row r="131" spans="2:4" x14ac:dyDescent="0.25">
      <c r="B131" s="53" t="s">
        <v>1201</v>
      </c>
      <c r="C131" t="s">
        <v>777</v>
      </c>
      <c r="D131" t="str">
        <f>IFERROR(VLOOKUP(Table2[[#This Row],[TAGS NEW R&amp;D]],B:B,1,FALSE), " ")</f>
        <v>2-044-MC133-X</v>
      </c>
    </row>
    <row r="132" spans="2:4" x14ac:dyDescent="0.25">
      <c r="B132" s="52" t="s">
        <v>1607</v>
      </c>
      <c r="C132" t="s">
        <v>473</v>
      </c>
      <c r="D132" t="str">
        <f>IFERROR(VLOOKUP(Table2[[#This Row],[TAGS NEW R&amp;D]],B:B,1,FALSE), " ")</f>
        <v>2-033-YP054-X</v>
      </c>
    </row>
    <row r="133" spans="2:4" x14ac:dyDescent="0.25">
      <c r="B133" s="52" t="s">
        <v>1479</v>
      </c>
      <c r="C133" t="s">
        <v>457</v>
      </c>
      <c r="D133" t="str">
        <f>IFERROR(VLOOKUP(Table2[[#This Row],[TAGS NEW R&amp;D]],B:B,1,FALSE), " ")</f>
        <v>2-033-YP044-X</v>
      </c>
    </row>
    <row r="134" spans="2:4" x14ac:dyDescent="0.25">
      <c r="B134" s="52" t="s">
        <v>1544</v>
      </c>
      <c r="C134" t="s">
        <v>380</v>
      </c>
      <c r="D134" t="str">
        <f>IFERROR(VLOOKUP(Table2[[#This Row],[TAGS NEW R&amp;D]],B:B,1,FALSE), " ")</f>
        <v>2-033-YP021_02-X</v>
      </c>
    </row>
    <row r="135" spans="2:4" x14ac:dyDescent="0.25">
      <c r="B135" s="53" t="s">
        <v>1538</v>
      </c>
      <c r="C135" t="s">
        <v>384</v>
      </c>
      <c r="D135" t="str">
        <f>IFERROR(VLOOKUP(Table2[[#This Row],[TAGS NEW R&amp;D]],B:B,1,FALSE), " ")</f>
        <v>2-033-YP021_01-X</v>
      </c>
    </row>
    <row r="136" spans="2:4" x14ac:dyDescent="0.25">
      <c r="B136" s="53" t="s">
        <v>1610</v>
      </c>
      <c r="C136" t="s">
        <v>469</v>
      </c>
      <c r="D136" t="str">
        <f>IFERROR(VLOOKUP(Table2[[#This Row],[TAGS NEW R&amp;D]],B:B,1,FALSE), " ")</f>
        <v>2-033-Y051-X</v>
      </c>
    </row>
    <row r="137" spans="2:4" x14ac:dyDescent="0.25">
      <c r="B137" s="53" t="s">
        <v>1478</v>
      </c>
      <c r="C137" t="s">
        <v>461</v>
      </c>
      <c r="D137" t="str">
        <f>IFERROR(VLOOKUP(Table2[[#This Row],[TAGS NEW R&amp;D]],B:B,1,FALSE), " ")</f>
        <v>2-033-Y041-X</v>
      </c>
    </row>
    <row r="138" spans="2:4" x14ac:dyDescent="0.25">
      <c r="B138" s="53" t="s">
        <v>1623</v>
      </c>
      <c r="C138" t="s">
        <v>264</v>
      </c>
      <c r="D138" t="str">
        <f>IFERROR(VLOOKUP(Table2[[#This Row],[TAGS NEW R&amp;D]],B:B,1,FALSE), " ")</f>
        <v>2-033-UZ001-MD_SPEED-X</v>
      </c>
    </row>
    <row r="139" spans="2:4" x14ac:dyDescent="0.25">
      <c r="B139" s="52" t="s">
        <v>1513</v>
      </c>
      <c r="C139" t="s">
        <v>613</v>
      </c>
      <c r="D139" t="str">
        <f>IFERROR(VLOOKUP(Table2[[#This Row],[TAGS NEW R&amp;D]],B:B,1,FALSE), " ")</f>
        <v>2-033-TI200-X</v>
      </c>
    </row>
    <row r="140" spans="2:4" x14ac:dyDescent="0.25">
      <c r="B140" s="53" t="s">
        <v>1564</v>
      </c>
      <c r="C140" t="s">
        <v>601</v>
      </c>
      <c r="D140" t="str">
        <f>IFERROR(VLOOKUP(Table2[[#This Row],[TAGS NEW R&amp;D]],B:B,1,FALSE), " ")</f>
        <v>2-033-TI100-X</v>
      </c>
    </row>
    <row r="141" spans="2:4" x14ac:dyDescent="0.25">
      <c r="B141" s="52" t="s">
        <v>1554</v>
      </c>
      <c r="C141" t="s">
        <v>405</v>
      </c>
      <c r="D141" t="str">
        <f>IFERROR(VLOOKUP(Table2[[#This Row],[TAGS NEW R&amp;D]],B:B,1,FALSE), " ")</f>
        <v>2-033-PI250-X</v>
      </c>
    </row>
    <row r="142" spans="2:4" x14ac:dyDescent="0.25">
      <c r="B142" s="52" t="s">
        <v>1547</v>
      </c>
      <c r="C142" t="s">
        <v>388</v>
      </c>
      <c r="D142" t="str">
        <f>IFERROR(VLOOKUP(Table2[[#This Row],[TAGS NEW R&amp;D]],B:B,1,FALSE), " ")</f>
        <v>2-033-PI150-X</v>
      </c>
    </row>
    <row r="143" spans="2:4" x14ac:dyDescent="0.25">
      <c r="B143" s="53" t="s">
        <v>1526</v>
      </c>
      <c r="C143" t="s">
        <v>477</v>
      </c>
      <c r="D143" t="str">
        <f>IFERROR(VLOOKUP(Table2[[#This Row],[TAGS NEW R&amp;D]],B:B,1,FALSE), " ")</f>
        <v>2-033-PI055-X</v>
      </c>
    </row>
    <row r="144" spans="2:4" x14ac:dyDescent="0.25">
      <c r="B144" s="52" t="s">
        <v>1502</v>
      </c>
      <c r="C144" t="s">
        <v>465</v>
      </c>
      <c r="D144" t="str">
        <f>IFERROR(VLOOKUP(Table2[[#This Row],[TAGS NEW R&amp;D]],B:B,1,FALSE), " ")</f>
        <v>2-033-PI045-X</v>
      </c>
    </row>
    <row r="145" spans="2:4" x14ac:dyDescent="0.25">
      <c r="B145" s="52" t="s">
        <v>1567</v>
      </c>
      <c r="C145" t="s">
        <v>621</v>
      </c>
      <c r="D145" t="str">
        <f>IFERROR(VLOOKUP(Table2[[#This Row],[TAGS NEW R&amp;D]],B:B,1,FALSE), " ")</f>
        <v>2-033-PD210-X</v>
      </c>
    </row>
    <row r="146" spans="2:4" x14ac:dyDescent="0.25">
      <c r="B146" s="53" t="s">
        <v>1561</v>
      </c>
      <c r="C146" t="s">
        <v>609</v>
      </c>
      <c r="D146" t="str">
        <f>IFERROR(VLOOKUP(Table2[[#This Row],[TAGS NEW R&amp;D]],B:B,1,FALSE), " ")</f>
        <v>2-033-PD110-X</v>
      </c>
    </row>
    <row r="147" spans="2:4" x14ac:dyDescent="0.25">
      <c r="B147" s="53" t="s">
        <v>1482</v>
      </c>
      <c r="C147" t="s">
        <v>447</v>
      </c>
      <c r="D147" t="str">
        <f>IFERROR(VLOOKUP(Table2[[#This Row],[TAGS NEW R&amp;D]],B:B,1,FALSE), " ")</f>
        <v>2-033-M055-SEL</v>
      </c>
    </row>
    <row r="148" spans="2:4" x14ac:dyDescent="0.25">
      <c r="B148" s="52" t="s">
        <v>1476</v>
      </c>
      <c r="C148" t="s">
        <v>445</v>
      </c>
      <c r="D148" t="str">
        <f>IFERROR(VLOOKUP(Table2[[#This Row],[TAGS NEW R&amp;D]],B:B,1,FALSE), " ")</f>
        <v>2-033-M045-SEL</v>
      </c>
    </row>
    <row r="149" spans="2:4" x14ac:dyDescent="0.25">
      <c r="B149" s="53" t="s">
        <v>1522</v>
      </c>
      <c r="C149" t="s">
        <v>617</v>
      </c>
      <c r="D149" t="str">
        <f>IFERROR(VLOOKUP(Table2[[#This Row],[TAGS NEW R&amp;D]],B:B,1,FALSE), " ")</f>
        <v>2-033-LC200-X</v>
      </c>
    </row>
    <row r="150" spans="2:4" x14ac:dyDescent="0.25">
      <c r="B150" s="52" t="s">
        <v>1566</v>
      </c>
      <c r="C150" t="s">
        <v>605</v>
      </c>
      <c r="D150" t="str">
        <f>IFERROR(VLOOKUP(Table2[[#This Row],[TAGS NEW R&amp;D]],B:B,1,FALSE), " ")</f>
        <v>2-033-LC100-X</v>
      </c>
    </row>
    <row r="151" spans="2:4" x14ac:dyDescent="0.25">
      <c r="B151" s="53" t="s">
        <v>1545</v>
      </c>
      <c r="C151" t="s">
        <v>417</v>
      </c>
      <c r="D151" t="str">
        <f>IFERROR(VLOOKUP(Table2[[#This Row],[TAGS NEW R&amp;D]],B:B,1,FALSE), " ")</f>
        <v>2-033-FI200-X</v>
      </c>
    </row>
    <row r="152" spans="2:4" x14ac:dyDescent="0.25">
      <c r="B152" s="53" t="s">
        <v>1541</v>
      </c>
      <c r="C152" t="s">
        <v>425</v>
      </c>
      <c r="D152" t="str">
        <f>IFERROR(VLOOKUP(Table2[[#This Row],[TAGS NEW R&amp;D]],B:B,1,FALSE), " ")</f>
        <v>2-033-FI100-X</v>
      </c>
    </row>
    <row r="153" spans="2:4" x14ac:dyDescent="0.25">
      <c r="B153" s="52" t="s">
        <v>1639</v>
      </c>
      <c r="C153" t="s">
        <v>150</v>
      </c>
      <c r="D153" t="str">
        <f>IFERROR(VLOOKUP(Table2[[#This Row],[TAGS NEW R&amp;D]],B:B,1,FALSE), " ")</f>
        <v>2-033-FI100-G_M2</v>
      </c>
    </row>
    <row r="154" spans="2:4" x14ac:dyDescent="0.25">
      <c r="B154" s="52" t="s">
        <v>1483</v>
      </c>
      <c r="C154" t="s">
        <v>437</v>
      </c>
      <c r="D154" t="str">
        <f>IFERROR(VLOOKUP(Table2[[#This Row],[TAGS NEW R&amp;D]],B:B,1,FALSE), " ")</f>
        <v>2-033-FI100-D3</v>
      </c>
    </row>
    <row r="155" spans="2:4" x14ac:dyDescent="0.25">
      <c r="B155" s="52" t="s">
        <v>1546</v>
      </c>
      <c r="C155" t="s">
        <v>413</v>
      </c>
      <c r="D155" t="str">
        <f>IFERROR(VLOOKUP(Table2[[#This Row],[TAGS NEW R&amp;D]],B:B,1,FALSE), " ")</f>
        <v>2-033-FC200-X</v>
      </c>
    </row>
    <row r="156" spans="2:4" x14ac:dyDescent="0.25">
      <c r="B156" s="52" t="s">
        <v>1537</v>
      </c>
      <c r="C156" t="s">
        <v>421</v>
      </c>
      <c r="D156" t="str">
        <f>IFERROR(VLOOKUP(Table2[[#This Row],[TAGS NEW R&amp;D]],B:B,1,FALSE), " ")</f>
        <v>2-033-FC100-X</v>
      </c>
    </row>
    <row r="157" spans="2:4" x14ac:dyDescent="0.25">
      <c r="B157" s="52" t="s">
        <v>1700</v>
      </c>
      <c r="C157" t="s">
        <v>916</v>
      </c>
      <c r="D157" t="str">
        <f>IFERROR(VLOOKUP(Table2[[#This Row],[TAGS NEW R&amp;D]],B:B,1,FALSE), " ")</f>
        <v>2-028-P308_01-X</v>
      </c>
    </row>
    <row r="158" spans="2:4" x14ac:dyDescent="0.25">
      <c r="B158" s="53" t="s">
        <v>1695</v>
      </c>
      <c r="C158" t="s">
        <v>918</v>
      </c>
      <c r="D158" t="str">
        <f>IFERROR(VLOOKUP(Table2[[#This Row],[TAGS NEW R&amp;D]],B:B,1,FALSE), " ")</f>
        <v>2-028-P306_01-X</v>
      </c>
    </row>
    <row r="159" spans="2:4" x14ac:dyDescent="0.25">
      <c r="B159" s="53" t="s">
        <v>1699</v>
      </c>
      <c r="C159" t="s">
        <v>914</v>
      </c>
      <c r="D159" t="str">
        <f>IFERROR(VLOOKUP(Table2[[#This Row],[TAGS NEW R&amp;D]],B:B,1,FALSE), " ")</f>
        <v>2-028-P305_01-X</v>
      </c>
    </row>
    <row r="160" spans="2:4" x14ac:dyDescent="0.25">
      <c r="B160" s="53" t="s">
        <v>209</v>
      </c>
      <c r="C160" t="s">
        <v>1037</v>
      </c>
      <c r="D160" t="str">
        <f>IFERROR(VLOOKUP(Table2[[#This Row],[TAGS NEW R&amp;D]],B:B,1,FALSE), " ")</f>
        <v>2-009-TI209_01-X</v>
      </c>
    </row>
    <row r="161" spans="2:4" x14ac:dyDescent="0.25">
      <c r="B161" s="53" t="s">
        <v>1497</v>
      </c>
      <c r="C161" t="s">
        <v>737</v>
      </c>
      <c r="D161" t="str">
        <f>IFERROR(VLOOKUP(Table2[[#This Row],[TAGS NEW R&amp;D]],B:B,1,FALSE), " ")</f>
        <v>2-009-TC201_01-X</v>
      </c>
    </row>
    <row r="162" spans="2:4" x14ac:dyDescent="0.25">
      <c r="B162" s="52" t="s">
        <v>1555</v>
      </c>
      <c r="C162" t="s">
        <v>318</v>
      </c>
      <c r="D162" t="str">
        <f>IFERROR(VLOOKUP(Table2[[#This Row],[TAGS NEW R&amp;D]],B:B,1,FALSE), " ")</f>
        <v>2-009-PD205_01-X</v>
      </c>
    </row>
    <row r="163" spans="2:4" x14ac:dyDescent="0.25">
      <c r="B163" s="53" t="s">
        <v>1558</v>
      </c>
      <c r="C163" t="s">
        <v>314</v>
      </c>
      <c r="D163" t="str">
        <f>IFERROR(VLOOKUP(Table2[[#This Row],[TAGS NEW R&amp;D]],B:B,1,FALSE), " ")</f>
        <v>2-009-PD204_04-X</v>
      </c>
    </row>
    <row r="164" spans="2:4" x14ac:dyDescent="0.25">
      <c r="B164" s="52" t="s">
        <v>1659</v>
      </c>
      <c r="C164" t="s">
        <v>294</v>
      </c>
      <c r="D164" t="str">
        <f>IFERROR(VLOOKUP(Table2[[#This Row],[TAGS NEW R&amp;D]],B:B,1,FALSE), " ")</f>
        <v>2-009-PD204_03-X</v>
      </c>
    </row>
    <row r="165" spans="2:4" x14ac:dyDescent="0.25">
      <c r="B165" s="53" t="s">
        <v>1633</v>
      </c>
      <c r="C165" t="s">
        <v>298</v>
      </c>
      <c r="D165" t="str">
        <f>IFERROR(VLOOKUP(Table2[[#This Row],[TAGS NEW R&amp;D]],B:B,1,FALSE), " ")</f>
        <v>2-009-PD204_02-X</v>
      </c>
    </row>
    <row r="166" spans="2:4" x14ac:dyDescent="0.25">
      <c r="B166" s="53" t="s">
        <v>1628</v>
      </c>
      <c r="C166" t="s">
        <v>282</v>
      </c>
      <c r="D166" t="str">
        <f>IFERROR(VLOOKUP(Table2[[#This Row],[TAGS NEW R&amp;D]],B:B,1,FALSE), " ")</f>
        <v>2-009-PD204_01-X</v>
      </c>
    </row>
    <row r="167" spans="2:4" x14ac:dyDescent="0.25">
      <c r="B167" s="52" t="s">
        <v>1591</v>
      </c>
      <c r="C167" t="s">
        <v>757</v>
      </c>
      <c r="D167" t="str">
        <f>IFERROR(VLOOKUP(Table2[[#This Row],[TAGS NEW R&amp;D]],B:B,1,FALSE), " ")</f>
        <v>2-009-PD203_01-X</v>
      </c>
    </row>
    <row r="168" spans="2:4" x14ac:dyDescent="0.25">
      <c r="B168" s="52" t="s">
        <v>1494</v>
      </c>
      <c r="C168" t="s">
        <v>741</v>
      </c>
      <c r="D168" t="str">
        <f>IFERROR(VLOOKUP(Table2[[#This Row],[TAGS NEW R&amp;D]],B:B,1,FALSE), " ")</f>
        <v>2-009-PD202_02-X</v>
      </c>
    </row>
    <row r="169" spans="2:4" x14ac:dyDescent="0.25">
      <c r="B169" s="53" t="s">
        <v>1582</v>
      </c>
      <c r="C169" t="s">
        <v>729</v>
      </c>
      <c r="D169" t="str">
        <f>IFERROR(VLOOKUP(Table2[[#This Row],[TAGS NEW R&amp;D]],B:B,1,FALSE), " ")</f>
        <v>2-009-PD202_01-X</v>
      </c>
    </row>
    <row r="170" spans="2:4" x14ac:dyDescent="0.25">
      <c r="B170" s="52" t="s">
        <v>1588</v>
      </c>
      <c r="C170" t="s">
        <v>717</v>
      </c>
      <c r="D170" t="str">
        <f>IFERROR(VLOOKUP(Table2[[#This Row],[TAGS NEW R&amp;D]],B:B,1,FALSE), " ")</f>
        <v>2-009-PD201_05-X</v>
      </c>
    </row>
    <row r="171" spans="2:4" x14ac:dyDescent="0.25">
      <c r="B171" s="53" t="s">
        <v>1492</v>
      </c>
      <c r="C171" t="s">
        <v>705</v>
      </c>
      <c r="D171" t="str">
        <f>IFERROR(VLOOKUP(Table2[[#This Row],[TAGS NEW R&amp;D]],B:B,1,FALSE), " ")</f>
        <v>2-009-PD201_04-X</v>
      </c>
    </row>
    <row r="172" spans="2:4" x14ac:dyDescent="0.25">
      <c r="B172" s="52" t="s">
        <v>1583</v>
      </c>
      <c r="C172" t="s">
        <v>693</v>
      </c>
      <c r="D172" t="str">
        <f>IFERROR(VLOOKUP(Table2[[#This Row],[TAGS NEW R&amp;D]],B:B,1,FALSE), " ")</f>
        <v>2-009-PD201_03-X</v>
      </c>
    </row>
    <row r="173" spans="2:4" x14ac:dyDescent="0.25">
      <c r="B173" s="53" t="s">
        <v>1593</v>
      </c>
      <c r="C173" t="s">
        <v>681</v>
      </c>
      <c r="D173" t="str">
        <f>IFERROR(VLOOKUP(Table2[[#This Row],[TAGS NEW R&amp;D]],B:B,1,FALSE), " ")</f>
        <v>2-009-PD201_01-X</v>
      </c>
    </row>
    <row r="174" spans="2:4" x14ac:dyDescent="0.25">
      <c r="B174" s="53" t="s">
        <v>1648</v>
      </c>
      <c r="C174" t="s">
        <v>306</v>
      </c>
      <c r="D174" t="str">
        <f>IFERROR(VLOOKUP(Table2[[#This Row],[TAGS NEW R&amp;D]],B:B,1,FALSE), " ")</f>
        <v>2-009-PC204_04-X</v>
      </c>
    </row>
    <row r="175" spans="2:4" x14ac:dyDescent="0.25">
      <c r="B175" s="52" t="s">
        <v>1640</v>
      </c>
      <c r="C175" t="s">
        <v>302</v>
      </c>
      <c r="D175" t="str">
        <f>IFERROR(VLOOKUP(Table2[[#This Row],[TAGS NEW R&amp;D]],B:B,1,FALSE), " ")</f>
        <v>2-009-PC204_03-X</v>
      </c>
    </row>
    <row r="176" spans="2:4" x14ac:dyDescent="0.25">
      <c r="B176" s="53" t="s">
        <v>1645</v>
      </c>
      <c r="C176" t="s">
        <v>290</v>
      </c>
      <c r="D176" t="str">
        <f>IFERROR(VLOOKUP(Table2[[#This Row],[TAGS NEW R&amp;D]],B:B,1,FALSE), " ")</f>
        <v>2-009-PC204_02-X</v>
      </c>
    </row>
    <row r="177" spans="2:4" x14ac:dyDescent="0.25">
      <c r="B177" s="52" t="s">
        <v>1620</v>
      </c>
      <c r="C177" t="s">
        <v>278</v>
      </c>
      <c r="D177" t="str">
        <f>IFERROR(VLOOKUP(Table2[[#This Row],[TAGS NEW R&amp;D]],B:B,1,FALSE), " ")</f>
        <v>2-009-PC204_01-X</v>
      </c>
    </row>
    <row r="178" spans="2:4" x14ac:dyDescent="0.25">
      <c r="B178" s="52" t="s">
        <v>1489</v>
      </c>
      <c r="C178" t="s">
        <v>709</v>
      </c>
      <c r="D178" t="str">
        <f>IFERROR(VLOOKUP(Table2[[#This Row],[TAGS NEW R&amp;D]],B:B,1,FALSE), " ")</f>
        <v>2-009-PC201_05-X</v>
      </c>
    </row>
    <row r="179" spans="2:4" x14ac:dyDescent="0.25">
      <c r="B179" s="53" t="s">
        <v>1486</v>
      </c>
      <c r="C179" t="s">
        <v>713</v>
      </c>
      <c r="D179" t="str">
        <f>IFERROR(VLOOKUP(Table2[[#This Row],[TAGS NEW R&amp;D]],B:B,1,FALSE), " ")</f>
        <v>2-009-PC201_04-X</v>
      </c>
    </row>
    <row r="180" spans="2:4" x14ac:dyDescent="0.25">
      <c r="B180" s="52" t="s">
        <v>1493</v>
      </c>
      <c r="C180" t="s">
        <v>701</v>
      </c>
      <c r="D180" t="str">
        <f>IFERROR(VLOOKUP(Table2[[#This Row],[TAGS NEW R&amp;D]],B:B,1,FALSE), " ")</f>
        <v>2-009-PC201_03-X</v>
      </c>
    </row>
    <row r="181" spans="2:4" x14ac:dyDescent="0.25">
      <c r="B181" s="53" t="s">
        <v>1587</v>
      </c>
      <c r="C181" t="s">
        <v>689</v>
      </c>
      <c r="D181" t="str">
        <f>IFERROR(VLOOKUP(Table2[[#This Row],[TAGS NEW R&amp;D]],B:B,1,FALSE), " ")</f>
        <v>2-009-PC201_02-X</v>
      </c>
    </row>
    <row r="182" spans="2:4" x14ac:dyDescent="0.25">
      <c r="B182" s="52" t="s">
        <v>1590</v>
      </c>
      <c r="C182" t="s">
        <v>685</v>
      </c>
      <c r="D182" t="str">
        <f>IFERROR(VLOOKUP(Table2[[#This Row],[TAGS NEW R&amp;D]],B:B,1,FALSE), " ")</f>
        <v>2-009-PC201_01-X</v>
      </c>
    </row>
    <row r="183" spans="2:4" x14ac:dyDescent="0.25">
      <c r="B183" s="53" t="s">
        <v>1552</v>
      </c>
      <c r="C183" t="s">
        <v>322</v>
      </c>
      <c r="D183" t="str">
        <f>IFERROR(VLOOKUP(Table2[[#This Row],[TAGS NEW R&amp;D]],B:B,1,FALSE), " ")</f>
        <v>2-009-PC200_05-X</v>
      </c>
    </row>
    <row r="184" spans="2:4" x14ac:dyDescent="0.25">
      <c r="B184" s="52" t="s">
        <v>1656</v>
      </c>
      <c r="C184" t="s">
        <v>310</v>
      </c>
      <c r="D184" t="str">
        <f>IFERROR(VLOOKUP(Table2[[#This Row],[TAGS NEW R&amp;D]],B:B,1,FALSE), " ")</f>
        <v>2-009-PC200_04-X</v>
      </c>
    </row>
    <row r="185" spans="2:4" x14ac:dyDescent="0.25">
      <c r="B185" s="52" t="s">
        <v>1597</v>
      </c>
      <c r="C185" t="s">
        <v>749</v>
      </c>
      <c r="D185" t="str">
        <f>IFERROR(VLOOKUP(Table2[[#This Row],[TAGS NEW R&amp;D]],B:B,1,FALSE), " ")</f>
        <v>2-009-PC200_03_3-X</v>
      </c>
    </row>
    <row r="186" spans="2:4" x14ac:dyDescent="0.25">
      <c r="B186" s="53" t="s">
        <v>1598</v>
      </c>
      <c r="C186" t="s">
        <v>745</v>
      </c>
      <c r="D186" t="str">
        <f>IFERROR(VLOOKUP(Table2[[#This Row],[TAGS NEW R&amp;D]],B:B,1,FALSE), " ")</f>
        <v>2-009-PC200_03_2-X</v>
      </c>
    </row>
    <row r="187" spans="2:4" x14ac:dyDescent="0.25">
      <c r="B187" s="52" t="s">
        <v>1581</v>
      </c>
      <c r="C187" t="s">
        <v>733</v>
      </c>
      <c r="D187" t="str">
        <f>IFERROR(VLOOKUP(Table2[[#This Row],[TAGS NEW R&amp;D]],B:B,1,FALSE), " ")</f>
        <v>2-009-PC200_02-X</v>
      </c>
    </row>
    <row r="188" spans="2:4" x14ac:dyDescent="0.25">
      <c r="B188" s="53" t="s">
        <v>1589</v>
      </c>
      <c r="C188" t="s">
        <v>721</v>
      </c>
      <c r="D188" t="str">
        <f>IFERROR(VLOOKUP(Table2[[#This Row],[TAGS NEW R&amp;D]],B:B,1,FALSE), " ")</f>
        <v>2-009-PC200_01-X</v>
      </c>
    </row>
    <row r="189" spans="2:4" x14ac:dyDescent="0.25">
      <c r="B189" s="52" t="s">
        <v>1585</v>
      </c>
      <c r="C189" t="s">
        <v>725</v>
      </c>
      <c r="D189" t="str">
        <f>IFERROR(VLOOKUP(Table2[[#This Row],[TAGS NEW R&amp;D]],B:B,1,FALSE), " ")</f>
        <v>2-009-PC200_01-PCV2-W</v>
      </c>
    </row>
    <row r="190" spans="2:4" x14ac:dyDescent="0.25">
      <c r="B190" s="53" t="s">
        <v>1111</v>
      </c>
      <c r="C190" t="s">
        <v>1407</v>
      </c>
      <c r="D190" t="str">
        <f>IFERROR(VLOOKUP(Table2[[#This Row],[TAGS NEW R&amp;D]],B:B,1,FALSE), " ")</f>
        <v>2-009-FI200_01_1-X</v>
      </c>
    </row>
    <row r="191" spans="2:4" x14ac:dyDescent="0.25">
      <c r="B191" s="52" t="s">
        <v>1505</v>
      </c>
      <c r="C191" t="s">
        <v>42</v>
      </c>
      <c r="D191" t="str">
        <f>IFERROR(VLOOKUP(Table2[[#This Row],[TAGS NEW R&amp;D]],B:B,1,FALSE), " ")</f>
        <v>2-008-VPOPE-AR0</v>
      </c>
    </row>
    <row r="192" spans="2:4" x14ac:dyDescent="0.25">
      <c r="B192" s="53" t="s">
        <v>1471</v>
      </c>
      <c r="C192" t="s">
        <v>1177</v>
      </c>
      <c r="D192" t="str">
        <f>IFERROR(VLOOKUP(Table2[[#This Row],[TAGS NEW R&amp;D]],B:B,1,FALSE), " ")</f>
        <v>2-008-TI041_25_1-X</v>
      </c>
    </row>
    <row r="193" spans="2:4" x14ac:dyDescent="0.25">
      <c r="B193" s="53" t="s">
        <v>1473</v>
      </c>
      <c r="C193" t="s">
        <v>1185</v>
      </c>
      <c r="D193" t="str">
        <f>IFERROR(VLOOKUP(Table2[[#This Row],[TAGS NEW R&amp;D]],B:B,1,FALSE), " ")</f>
        <v>2-008-TI041_05_1-X</v>
      </c>
    </row>
    <row r="194" spans="2:4" x14ac:dyDescent="0.25">
      <c r="B194" s="52" t="s">
        <v>1193</v>
      </c>
      <c r="C194" t="s">
        <v>1051</v>
      </c>
      <c r="D194" t="str">
        <f>IFERROR(VLOOKUP(Table2[[#This Row],[TAGS NEW R&amp;D]],B:B,1,FALSE), " ")</f>
        <v>2-008-QI049_02-X</v>
      </c>
    </row>
    <row r="195" spans="2:4" x14ac:dyDescent="0.25">
      <c r="B195" s="52" t="s">
        <v>240</v>
      </c>
      <c r="C195" t="s">
        <v>1042</v>
      </c>
      <c r="D195" t="str">
        <f>IFERROR(VLOOKUP(Table2[[#This Row],[TAGS NEW R&amp;D]],B:B,1,FALSE), " ")</f>
        <v>2-008-QI046_02-X</v>
      </c>
    </row>
    <row r="196" spans="2:4" x14ac:dyDescent="0.25">
      <c r="B196" s="52" t="s">
        <v>1521</v>
      </c>
      <c r="C196" t="s">
        <v>1220</v>
      </c>
      <c r="D196" t="str">
        <f>IFERROR(VLOOKUP(Table2[[#This Row],[TAGS NEW R&amp;D]],B:B,1,FALSE), " ")</f>
        <v>2-008-QI042_01-X</v>
      </c>
    </row>
    <row r="197" spans="2:4" x14ac:dyDescent="0.25">
      <c r="B197" s="52" t="s">
        <v>1518</v>
      </c>
      <c r="C197" t="s">
        <v>1213</v>
      </c>
      <c r="D197" t="str">
        <f>IFERROR(VLOOKUP(Table2[[#This Row],[TAGS NEW R&amp;D]],B:B,1,FALSE), " ")</f>
        <v>2-008-QI041_30_04-X</v>
      </c>
    </row>
    <row r="198" spans="2:4" x14ac:dyDescent="0.25">
      <c r="B198" s="52" t="s">
        <v>1536</v>
      </c>
      <c r="C198" t="s">
        <v>1229</v>
      </c>
      <c r="D198" t="str">
        <f>IFERROR(VLOOKUP(Table2[[#This Row],[TAGS NEW R&amp;D]],B:B,1,FALSE), " ")</f>
        <v>2-008-QI041_25_01-X</v>
      </c>
    </row>
    <row r="199" spans="2:4" x14ac:dyDescent="0.25">
      <c r="B199" s="52" t="s">
        <v>1576</v>
      </c>
      <c r="C199" t="s">
        <v>1252</v>
      </c>
      <c r="D199" t="str">
        <f>IFERROR(VLOOKUP(Table2[[#This Row],[TAGS NEW R&amp;D]],B:B,1,FALSE), " ")</f>
        <v>2-008-QI041_10_2-X</v>
      </c>
    </row>
    <row r="200" spans="2:4" x14ac:dyDescent="0.25">
      <c r="B200" s="53" t="s">
        <v>1575</v>
      </c>
      <c r="C200" t="s">
        <v>1248</v>
      </c>
      <c r="D200" t="str">
        <f>IFERROR(VLOOKUP(Table2[[#This Row],[TAGS NEW R&amp;D]],B:B,1,FALSE), " ")</f>
        <v>2-008-QI041_05_02-X</v>
      </c>
    </row>
    <row r="201" spans="2:4" x14ac:dyDescent="0.25">
      <c r="B201" s="53" t="s">
        <v>1571</v>
      </c>
      <c r="C201" t="s">
        <v>1233</v>
      </c>
      <c r="D201" t="str">
        <f>IFERROR(VLOOKUP(Table2[[#This Row],[TAGS NEW R&amp;D]],B:B,1,FALSE), " ")</f>
        <v>2-008-QI041.25.01-X</v>
      </c>
    </row>
    <row r="202" spans="2:4" x14ac:dyDescent="0.25">
      <c r="B202" s="52" t="s">
        <v>1574</v>
      </c>
      <c r="C202" t="s">
        <v>1244</v>
      </c>
      <c r="D202" t="str">
        <f>IFERROR(VLOOKUP(Table2[[#This Row],[TAGS NEW R&amp;D]],B:B,1,FALSE), " ")</f>
        <v>2-008-QI041.05.02-X</v>
      </c>
    </row>
    <row r="203" spans="2:4" x14ac:dyDescent="0.25">
      <c r="B203" s="52" t="s">
        <v>212</v>
      </c>
      <c r="C203" t="s">
        <v>1033</v>
      </c>
      <c r="D203" t="str">
        <f>IFERROR(VLOOKUP(Table2[[#This Row],[TAGS NEW R&amp;D]],B:B,1,FALSE), " ")</f>
        <v>2-008-QC041_30_2-X</v>
      </c>
    </row>
    <row r="204" spans="2:4" x14ac:dyDescent="0.25">
      <c r="B204" s="53" t="s">
        <v>1495</v>
      </c>
      <c r="C204" t="s">
        <v>657</v>
      </c>
      <c r="D204" t="str">
        <f>IFERROR(VLOOKUP(Table2[[#This Row],[TAGS NEW R&amp;D]],B:B,1,FALSE), " ")</f>
        <v>2-008-PI807_01-X</v>
      </c>
    </row>
    <row r="205" spans="2:4" x14ac:dyDescent="0.25">
      <c r="B205" s="52" t="s">
        <v>200</v>
      </c>
      <c r="C205" t="s">
        <v>1115</v>
      </c>
      <c r="D205" t="str">
        <f>IFERROR(VLOOKUP(Table2[[#This Row],[TAGS NEW R&amp;D]],B:B,1,FALSE), " ")</f>
        <v>2-008-PI087_21-X</v>
      </c>
    </row>
    <row r="206" spans="2:4" x14ac:dyDescent="0.25">
      <c r="B206" s="52" t="s">
        <v>665</v>
      </c>
      <c r="C206" t="s">
        <v>1067</v>
      </c>
      <c r="D206" t="str">
        <f>IFERROR(VLOOKUP(Table2[[#This Row],[TAGS NEW R&amp;D]],B:B,1,FALSE), " ")</f>
        <v>2-008-PI087_11-X</v>
      </c>
    </row>
    <row r="207" spans="2:4" x14ac:dyDescent="0.25">
      <c r="B207" s="52" t="s">
        <v>765</v>
      </c>
      <c r="C207" t="s">
        <v>1059</v>
      </c>
      <c r="D207" t="str">
        <f>IFERROR(VLOOKUP(Table2[[#This Row],[TAGS NEW R&amp;D]],B:B,1,FALSE), " ")</f>
        <v>2-008-PI087_02-X</v>
      </c>
    </row>
    <row r="208" spans="2:4" x14ac:dyDescent="0.25">
      <c r="B208" s="52" t="s">
        <v>761</v>
      </c>
      <c r="C208" t="s">
        <v>1075</v>
      </c>
      <c r="D208" t="str">
        <f>IFERROR(VLOOKUP(Table2[[#This Row],[TAGS NEW R&amp;D]],B:B,1,FALSE), " ")</f>
        <v>2-008-PI087_01-X</v>
      </c>
    </row>
    <row r="209" spans="2:4" x14ac:dyDescent="0.25">
      <c r="B209" s="53" t="s">
        <v>1465</v>
      </c>
      <c r="C209" t="s">
        <v>1169</v>
      </c>
      <c r="D209" t="str">
        <f>IFERROR(VLOOKUP(Table2[[#This Row],[TAGS NEW R&amp;D]],B:B,1,FALSE), " ")</f>
        <v>2-008-PI041_25_1-X</v>
      </c>
    </row>
    <row r="210" spans="2:4" x14ac:dyDescent="0.25">
      <c r="B210" s="52" t="s">
        <v>1455</v>
      </c>
      <c r="C210" t="s">
        <v>1139</v>
      </c>
      <c r="D210" t="str">
        <f>IFERROR(VLOOKUP(Table2[[#This Row],[TAGS NEW R&amp;D]],B:B,1,FALSE), " ")</f>
        <v>2-008-PI041_12-X</v>
      </c>
    </row>
    <row r="211" spans="2:4" x14ac:dyDescent="0.25">
      <c r="B211" s="52" t="s">
        <v>1472</v>
      </c>
      <c r="C211" t="s">
        <v>1181</v>
      </c>
      <c r="D211" t="str">
        <f>IFERROR(VLOOKUP(Table2[[#This Row],[TAGS NEW R&amp;D]],B:B,1,FALSE), " ")</f>
        <v>2-008-PI041_05_1-X</v>
      </c>
    </row>
    <row r="212" spans="2:4" x14ac:dyDescent="0.25">
      <c r="B212" s="53" t="s">
        <v>215</v>
      </c>
      <c r="C212" t="s">
        <v>1119</v>
      </c>
      <c r="D212" t="str">
        <f>IFERROR(VLOOKUP(Table2[[#This Row],[TAGS NEW R&amp;D]],B:B,1,FALSE), " ")</f>
        <v>2-008-PD087_21-X</v>
      </c>
    </row>
    <row r="213" spans="2:4" x14ac:dyDescent="0.25">
      <c r="B213" s="53" t="s">
        <v>197</v>
      </c>
      <c r="C213" t="s">
        <v>1071</v>
      </c>
      <c r="D213" t="str">
        <f>IFERROR(VLOOKUP(Table2[[#This Row],[TAGS NEW R&amp;D]],B:B,1,FALSE), " ")</f>
        <v>2-008-PD087_11-X</v>
      </c>
    </row>
    <row r="214" spans="2:4" x14ac:dyDescent="0.25">
      <c r="B214" s="53" t="s">
        <v>1355</v>
      </c>
      <c r="C214" t="s">
        <v>1063</v>
      </c>
      <c r="D214" t="str">
        <f>IFERROR(VLOOKUP(Table2[[#This Row],[TAGS NEW R&amp;D]],B:B,1,FALSE), " ")</f>
        <v>2-008-PD087_01-X</v>
      </c>
    </row>
    <row r="215" spans="2:4" x14ac:dyDescent="0.25">
      <c r="B215" s="53" t="s">
        <v>1260</v>
      </c>
      <c r="C215" t="s">
        <v>1055</v>
      </c>
      <c r="D215" t="str">
        <f>IFERROR(VLOOKUP(Table2[[#This Row],[TAGS NEW R&amp;D]],B:B,1,FALSE), " ")</f>
        <v>2-008-PD083_01-X</v>
      </c>
    </row>
    <row r="216" spans="2:4" x14ac:dyDescent="0.25">
      <c r="B216" s="53" t="s">
        <v>224</v>
      </c>
      <c r="C216" t="s">
        <v>1095</v>
      </c>
      <c r="D216" t="str">
        <f>IFERROR(VLOOKUP(Table2[[#This Row],[TAGS NEW R&amp;D]],B:B,1,FALSE), " ")</f>
        <v>2-008-PD080_10_1-X</v>
      </c>
    </row>
    <row r="217" spans="2:4" x14ac:dyDescent="0.25">
      <c r="B217" s="53" t="s">
        <v>1291</v>
      </c>
      <c r="C217" t="s">
        <v>1087</v>
      </c>
      <c r="D217" t="str">
        <f>IFERROR(VLOOKUP(Table2[[#This Row],[TAGS NEW R&amp;D]],B:B,1,FALSE), " ")</f>
        <v>2-008-PC088-X</v>
      </c>
    </row>
    <row r="218" spans="2:4" x14ac:dyDescent="0.25">
      <c r="B218" s="52" t="s">
        <v>1453</v>
      </c>
      <c r="C218" t="s">
        <v>1131</v>
      </c>
      <c r="D218" t="str">
        <f>IFERROR(VLOOKUP(Table2[[#This Row],[TAGS NEW R&amp;D]],B:B,1,FALSE), " ")</f>
        <v>2-008-PC041_11-X</v>
      </c>
    </row>
    <row r="219" spans="2:4" x14ac:dyDescent="0.25">
      <c r="B219" s="53" t="s">
        <v>1454</v>
      </c>
      <c r="C219" t="s">
        <v>1135</v>
      </c>
      <c r="D219" t="str">
        <f>IFERROR(VLOOKUP(Table2[[#This Row],[TAGS NEW R&amp;D]],B:B,1,FALSE), " ")</f>
        <v>2-008-PC041_11TS-X</v>
      </c>
    </row>
    <row r="220" spans="2:4" x14ac:dyDescent="0.25">
      <c r="B220" s="53" t="s">
        <v>1457</v>
      </c>
      <c r="C220" t="s">
        <v>1143</v>
      </c>
      <c r="D220" t="str">
        <f>IFERROR(VLOOKUP(Table2[[#This Row],[TAGS NEW R&amp;D]],B:B,1,FALSE), " ")</f>
        <v>2-008-PC041_11-Q</v>
      </c>
    </row>
    <row r="221" spans="2:4" x14ac:dyDescent="0.25">
      <c r="B221" s="53" t="s">
        <v>1460</v>
      </c>
      <c r="C221" t="s">
        <v>1153</v>
      </c>
      <c r="D221" t="str">
        <f>IFERROR(VLOOKUP(Table2[[#This Row],[TAGS NEW R&amp;D]],B:B,1,FALSE), " ")</f>
        <v>2-008-PC041.11-X-STRAHL-SIEB</v>
      </c>
    </row>
    <row r="222" spans="2:4" x14ac:dyDescent="0.25">
      <c r="B222" s="52" t="s">
        <v>1474</v>
      </c>
      <c r="C222" t="s">
        <v>1189</v>
      </c>
      <c r="D222" t="str">
        <f>IFERROR(VLOOKUP(Table2[[#This Row],[TAGS NEW R&amp;D]],B:B,1,FALSE), " ")</f>
        <v>2-008-P041_30-XI</v>
      </c>
    </row>
    <row r="223" spans="2:4" x14ac:dyDescent="0.25">
      <c r="B223" s="52" t="s">
        <v>1636</v>
      </c>
      <c r="C223" t="s">
        <v>34</v>
      </c>
      <c r="D223" t="str">
        <f>IFERROR(VLOOKUP(Table2[[#This Row],[TAGS NEW R&amp;D]],B:B,1,FALSE), " ")</f>
        <v>2-008-P041_10-XI</v>
      </c>
    </row>
    <row r="224" spans="2:4" x14ac:dyDescent="0.25">
      <c r="B224" s="52" t="s">
        <v>1451</v>
      </c>
      <c r="C224" t="s">
        <v>1123</v>
      </c>
      <c r="D224" t="str">
        <f>IFERROR(VLOOKUP(Table2[[#This Row],[TAGS NEW R&amp;D]],B:B,1,FALSE), " ")</f>
        <v>2-008-HC041_30_1-Y</v>
      </c>
    </row>
    <row r="225" spans="2:4" x14ac:dyDescent="0.25">
      <c r="B225" s="53" t="s">
        <v>1452</v>
      </c>
      <c r="C225" t="s">
        <v>1127</v>
      </c>
      <c r="D225" t="str">
        <f>IFERROR(VLOOKUP(Table2[[#This Row],[TAGS NEW R&amp;D]],B:B,1,FALSE), " ")</f>
        <v>2-008-HC041_10_1-Y</v>
      </c>
    </row>
    <row r="226" spans="2:4" x14ac:dyDescent="0.25">
      <c r="B226" s="52" t="s">
        <v>184</v>
      </c>
      <c r="C226" t="s">
        <v>1107</v>
      </c>
      <c r="D226" t="str">
        <f>IFERROR(VLOOKUP(Table2[[#This Row],[TAGS NEW R&amp;D]],B:B,1,FALSE), " ")</f>
        <v>2-008-FI087_24-X</v>
      </c>
    </row>
    <row r="227" spans="2:4" x14ac:dyDescent="0.25">
      <c r="B227" s="53" t="s">
        <v>1173</v>
      </c>
      <c r="C227" t="s">
        <v>1111</v>
      </c>
      <c r="D227" t="str">
        <f>IFERROR(VLOOKUP(Table2[[#This Row],[TAGS NEW R&amp;D]],B:B,1,FALSE), " ")</f>
        <v>2-008-FI087_23-X</v>
      </c>
    </row>
    <row r="228" spans="2:4" x14ac:dyDescent="0.25">
      <c r="B228" s="53" t="s">
        <v>236</v>
      </c>
      <c r="C228" t="s">
        <v>1103</v>
      </c>
      <c r="D228" t="str">
        <f>IFERROR(VLOOKUP(Table2[[#This Row],[TAGS NEW R&amp;D]],B:B,1,FALSE), " ")</f>
        <v>2-008-FI087_22-X</v>
      </c>
    </row>
    <row r="229" spans="2:4" x14ac:dyDescent="0.25">
      <c r="B229" s="52" t="s">
        <v>230</v>
      </c>
      <c r="C229" t="s">
        <v>1099</v>
      </c>
      <c r="D229" t="str">
        <f>IFERROR(VLOOKUP(Table2[[#This Row],[TAGS NEW R&amp;D]],B:B,1,FALSE), " ")</f>
        <v>2-008-FI087_21-X</v>
      </c>
    </row>
    <row r="230" spans="2:4" x14ac:dyDescent="0.25">
      <c r="B230" s="52" t="s">
        <v>1351</v>
      </c>
      <c r="C230" t="s">
        <v>1083</v>
      </c>
      <c r="D230" t="str">
        <f>IFERROR(VLOOKUP(Table2[[#This Row],[TAGS NEW R&amp;D]],B:B,1,FALSE), " ")</f>
        <v>2-008-FI087_11-X</v>
      </c>
    </row>
    <row r="231" spans="2:4" x14ac:dyDescent="0.25">
      <c r="B231" s="53" t="s">
        <v>1637</v>
      </c>
      <c r="C231" t="s">
        <v>160</v>
      </c>
      <c r="D231" t="str">
        <f>IFERROR(VLOOKUP(Table2[[#This Row],[TAGS NEW R&amp;D]],B:B,1,FALSE), " ")</f>
        <v>2-008-FI080_03_4-X</v>
      </c>
    </row>
    <row r="232" spans="2:4" x14ac:dyDescent="0.25">
      <c r="B232" s="52" t="s">
        <v>1643</v>
      </c>
      <c r="C232" t="s">
        <v>157</v>
      </c>
      <c r="D232" t="str">
        <f>IFERROR(VLOOKUP(Table2[[#This Row],[TAGS NEW R&amp;D]],B:B,1,FALSE), " ")</f>
        <v>2-008-FI080_03_3-X</v>
      </c>
    </row>
    <row r="233" spans="2:4" x14ac:dyDescent="0.25">
      <c r="B233" s="53" t="s">
        <v>1462</v>
      </c>
      <c r="C233" t="s">
        <v>1161</v>
      </c>
      <c r="D233" t="str">
        <f>IFERROR(VLOOKUP(Table2[[#This Row],[TAGS NEW R&amp;D]],B:B,1,FALSE), " ")</f>
        <v>2-008-FI033_01-X</v>
      </c>
    </row>
    <row r="234" spans="2:4" x14ac:dyDescent="0.25">
      <c r="B234" s="52" t="s">
        <v>1287</v>
      </c>
      <c r="C234" t="s">
        <v>1091</v>
      </c>
      <c r="D234" t="str">
        <f>IFERROR(VLOOKUP(Table2[[#This Row],[TAGS NEW R&amp;D]],B:B,1,FALSE), " ")</f>
        <v>2-008-FC088-X</v>
      </c>
    </row>
    <row r="235" spans="2:4" x14ac:dyDescent="0.25">
      <c r="B235" s="53" t="s">
        <v>1279</v>
      </c>
      <c r="C235" t="s">
        <v>1079</v>
      </c>
      <c r="D235" t="str">
        <f>IFERROR(VLOOKUP(Table2[[#This Row],[TAGS NEW R&amp;D]],B:B,1,FALSE), " ")</f>
        <v>2-008-FC087_01-X</v>
      </c>
    </row>
    <row r="236" spans="2:4" x14ac:dyDescent="0.25">
      <c r="B236" s="52" t="s">
        <v>1666</v>
      </c>
      <c r="C236" t="s">
        <v>143</v>
      </c>
      <c r="D236" t="str">
        <f>IFERROR(VLOOKUP(Table2[[#This Row],[TAGS NEW R&amp;D]],B:B,1,FALSE), " ")</f>
        <v>2-008-FC086_01-X</v>
      </c>
    </row>
    <row r="237" spans="2:4" x14ac:dyDescent="0.25">
      <c r="B237" s="53" t="s">
        <v>1664</v>
      </c>
      <c r="C237" t="s">
        <v>134</v>
      </c>
      <c r="D237" t="str">
        <f>IFERROR(VLOOKUP(Table2[[#This Row],[TAGS NEW R&amp;D]],B:B,1,FALSE), " ")</f>
        <v>2-008-FC080_10_2-X</v>
      </c>
    </row>
    <row r="238" spans="2:4" x14ac:dyDescent="0.25">
      <c r="B238" s="52" t="s">
        <v>1648</v>
      </c>
      <c r="C238" t="s">
        <v>131</v>
      </c>
      <c r="D238" t="str">
        <f>IFERROR(VLOOKUP(Table2[[#This Row],[TAGS NEW R&amp;D]],B:B,1,FALSE), " ")</f>
        <v>2-008-FC080_10_1-X</v>
      </c>
    </row>
    <row r="239" spans="2:4" x14ac:dyDescent="0.25">
      <c r="B239" s="52" t="s">
        <v>1450</v>
      </c>
      <c r="C239" t="s">
        <v>163</v>
      </c>
      <c r="D239" t="str">
        <f>IFERROR(VLOOKUP(Table2[[#This Row],[TAGS NEW R&amp;D]],B:B,1,FALSE), " ")</f>
        <v>2-008-FC080_04_4-X</v>
      </c>
    </row>
    <row r="240" spans="2:4" x14ac:dyDescent="0.25">
      <c r="B240" s="53" t="s">
        <v>131</v>
      </c>
      <c r="C240" t="s">
        <v>166</v>
      </c>
      <c r="D240" t="str">
        <f>IFERROR(VLOOKUP(Table2[[#This Row],[TAGS NEW R&amp;D]],B:B,1,FALSE), " ")</f>
        <v>2-008-FC080_04_2-X</v>
      </c>
    </row>
    <row r="241" spans="2:4" x14ac:dyDescent="0.25">
      <c r="B241" s="52" t="s">
        <v>131</v>
      </c>
      <c r="C241" t="s">
        <v>169</v>
      </c>
      <c r="D241" t="str">
        <f>IFERROR(VLOOKUP(Table2[[#This Row],[TAGS NEW R&amp;D]],B:B,1,FALSE), " ")</f>
        <v>2-008-FC080_01_2-X</v>
      </c>
    </row>
    <row r="242" spans="2:4" x14ac:dyDescent="0.25">
      <c r="B242" s="53" t="s">
        <v>1359</v>
      </c>
      <c r="C242" t="s">
        <v>172</v>
      </c>
      <c r="D242" t="str">
        <f>IFERROR(VLOOKUP(Table2[[#This Row],[TAGS NEW R&amp;D]],B:B,1,FALSE), " ")</f>
        <v>2-008-FC080_01_1-X</v>
      </c>
    </row>
    <row r="243" spans="2:4" x14ac:dyDescent="0.25">
      <c r="B243" s="53" t="s">
        <v>1520</v>
      </c>
      <c r="C243" t="s">
        <v>1216</v>
      </c>
      <c r="D243" t="str">
        <f>IFERROR(VLOOKUP(Table2[[#This Row],[TAGS NEW R&amp;D]],B:B,1,FALSE), " ")</f>
        <v>2-008-FC031_04-X</v>
      </c>
    </row>
    <row r="244" spans="2:4" x14ac:dyDescent="0.25">
      <c r="B244" s="52" t="s">
        <v>1499</v>
      </c>
      <c r="C244" t="s">
        <v>1197</v>
      </c>
      <c r="D244" t="str">
        <f>IFERROR(VLOOKUP(Table2[[#This Row],[TAGS NEW R&amp;D]],B:B,1,FALSE), " ")</f>
        <v>2-008-FC031_02-X</v>
      </c>
    </row>
    <row r="245" spans="2:4" x14ac:dyDescent="0.25">
      <c r="B245" s="53" t="s">
        <v>1475</v>
      </c>
      <c r="C245" t="s">
        <v>1193</v>
      </c>
      <c r="D245" t="str">
        <f>IFERROR(VLOOKUP(Table2[[#This Row],[TAGS NEW R&amp;D]],B:B,1,FALSE), " ")</f>
        <v>2-008-FC031_01-X</v>
      </c>
    </row>
    <row r="246" spans="2:4" x14ac:dyDescent="0.25">
      <c r="B246" s="52" t="s">
        <v>1463</v>
      </c>
      <c r="C246" t="s">
        <v>1165</v>
      </c>
      <c r="D246" t="str">
        <f>IFERROR(VLOOKUP(Table2[[#This Row],[TAGS NEW R&amp;D]],B:B,1,FALSE), " ")</f>
        <v>2-008-CI033_01-X</v>
      </c>
    </row>
    <row r="247" spans="2:4" x14ac:dyDescent="0.25">
      <c r="B247" s="52" t="s">
        <v>1578</v>
      </c>
      <c r="C247" t="s">
        <v>1260</v>
      </c>
      <c r="D247" t="str">
        <f>IFERROR(VLOOKUP(Table2[[#This Row],[TAGS NEW R&amp;D]],B:B,1,FALSE), " ")</f>
        <v>2-008-CC040_01-X</v>
      </c>
    </row>
    <row r="248" spans="2:4" x14ac:dyDescent="0.25">
      <c r="B248" s="52" t="s">
        <v>1461</v>
      </c>
      <c r="C248" t="s">
        <v>1157</v>
      </c>
      <c r="D248" t="str">
        <f>IFERROR(VLOOKUP(Table2[[#This Row],[TAGS NEW R&amp;D]],B:B,1,FALSE), " ")</f>
        <v>2-008-CC031_01-X</v>
      </c>
    </row>
    <row r="249" spans="2:4" x14ac:dyDescent="0.25">
      <c r="B249" s="52" t="s">
        <v>1467</v>
      </c>
      <c r="C249" t="s">
        <v>1173</v>
      </c>
      <c r="D249" t="str">
        <f>IFERROR(VLOOKUP(Table2[[#This Row],[TAGS NEW R&amp;D]],B:B,1,FALSE), " ")</f>
        <v>2-008-A041_10-X</v>
      </c>
    </row>
    <row r="250" spans="2:4" x14ac:dyDescent="0.25">
      <c r="B250" s="52" t="s">
        <v>1459</v>
      </c>
      <c r="C250" t="s">
        <v>1148</v>
      </c>
      <c r="D250" t="str">
        <f>IFERROR(VLOOKUP(Table2[[#This Row],[TAGS NEW R&amp;D]],B:B,1,FALSE), " ")</f>
        <v>2-006-GI011_01-X</v>
      </c>
    </row>
    <row r="251" spans="2:4" x14ac:dyDescent="0.25">
      <c r="B251" s="53" t="s">
        <v>1491</v>
      </c>
      <c r="C251" t="s">
        <v>665</v>
      </c>
      <c r="D251" t="str">
        <f>IFERROR(VLOOKUP(Table2[[#This Row],[TAGS NEW R&amp;D]],B:B,1,FALSE), " ")</f>
        <v>2-003-UZ001-MD_SPEED-X</v>
      </c>
    </row>
    <row r="252" spans="2:4" x14ac:dyDescent="0.25">
      <c r="B252" s="53" t="s">
        <v>1641</v>
      </c>
      <c r="C252" s="6" t="s">
        <v>248</v>
      </c>
      <c r="D252" t="str">
        <f>IFERROR(VLOOKUP(Table2[[#This Row],[TAGS NEW R&amp;D]],B:B,1,FALSE), " ")</f>
        <v>2-000-2A1J34-P</v>
      </c>
    </row>
    <row r="253" spans="2:4" x14ac:dyDescent="0.25">
      <c r="B253" s="52" t="s">
        <v>1635</v>
      </c>
      <c r="C253" s="6" t="s">
        <v>244</v>
      </c>
      <c r="D253" t="str">
        <f>IFERROR(VLOOKUP(Table2[[#This Row],[TAGS NEW R&amp;D]],B:B,1,FALSE), " ")</f>
        <v>2-000-2A1J33-P</v>
      </c>
    </row>
    <row r="254" spans="2:4" x14ac:dyDescent="0.25">
      <c r="B254" s="53" t="s">
        <v>1647</v>
      </c>
      <c r="C254" s="6" t="s">
        <v>221</v>
      </c>
      <c r="D254" t="str">
        <f>IFERROR(VLOOKUP(Table2[[#This Row],[TAGS NEW R&amp;D]],B:B,1,FALSE), " ")</f>
        <v>2-000-2A1J28-P</v>
      </c>
    </row>
    <row r="255" spans="2:4" x14ac:dyDescent="0.25">
      <c r="B255" s="52" t="s">
        <v>1658</v>
      </c>
      <c r="C255" s="6" t="s">
        <v>224</v>
      </c>
      <c r="D255" t="str">
        <f>IFERROR(VLOOKUP(Table2[[#This Row],[TAGS NEW R&amp;D]],B:B,1,FALSE), " ")</f>
        <v>2-000-2A1J27-P</v>
      </c>
    </row>
    <row r="256" spans="2:4" x14ac:dyDescent="0.25">
      <c r="B256" s="53" t="s">
        <v>1634</v>
      </c>
      <c r="C256" s="6" t="s">
        <v>227</v>
      </c>
      <c r="D256" t="str">
        <f>IFERROR(VLOOKUP(Table2[[#This Row],[TAGS NEW R&amp;D]],B:B,1,FALSE), " ")</f>
        <v>2-000-2A1J26-P</v>
      </c>
    </row>
    <row r="257" spans="2:4" x14ac:dyDescent="0.25">
      <c r="B257" s="52" t="s">
        <v>1617</v>
      </c>
      <c r="C257" s="6" t="s">
        <v>218</v>
      </c>
      <c r="D257" t="str">
        <f>IFERROR(VLOOKUP(Table2[[#This Row],[TAGS NEW R&amp;D]],B:B,1,FALSE), " ")</f>
        <v>2-000-2A1J25-P</v>
      </c>
    </row>
    <row r="258" spans="2:4" x14ac:dyDescent="0.25">
      <c r="B258" s="52" t="s">
        <v>1646</v>
      </c>
      <c r="C258" s="6" t="s">
        <v>230</v>
      </c>
      <c r="D258" t="str">
        <f>IFERROR(VLOOKUP(Table2[[#This Row],[TAGS NEW R&amp;D]],B:B,1,FALSE), " ")</f>
        <v>2-000-2A1J24-P</v>
      </c>
    </row>
    <row r="259" spans="2:4" x14ac:dyDescent="0.25">
      <c r="B259" s="53" t="s">
        <v>1657</v>
      </c>
      <c r="C259" s="6" t="s">
        <v>233</v>
      </c>
      <c r="D259" t="str">
        <f>IFERROR(VLOOKUP(Table2[[#This Row],[TAGS NEW R&amp;D]],B:B,1,FALSE), " ")</f>
        <v>2-000-2A1J23-P</v>
      </c>
    </row>
    <row r="260" spans="2:4" x14ac:dyDescent="0.25">
      <c r="B260" s="53" t="s">
        <v>1674</v>
      </c>
      <c r="C260" s="6" t="s">
        <v>240</v>
      </c>
      <c r="D260" t="str">
        <f>IFERROR(VLOOKUP(Table2[[#This Row],[TAGS NEW R&amp;D]],B:B,1,FALSE), " ")</f>
        <v>2-000-2A1J22-P</v>
      </c>
    </row>
    <row r="261" spans="2:4" x14ac:dyDescent="0.25">
      <c r="B261" s="52" t="s">
        <v>1681</v>
      </c>
      <c r="C261" t="s">
        <v>236</v>
      </c>
      <c r="D261" t="str">
        <f>IFERROR(VLOOKUP(Table2[[#This Row],[TAGS NEW R&amp;D]],B:B,1,FALSE), " ")</f>
        <v>2-000-2A1J21-P</v>
      </c>
    </row>
    <row r="262" spans="2:4" x14ac:dyDescent="0.25">
      <c r="B262" s="53" t="s">
        <v>1629</v>
      </c>
      <c r="C262" s="6" t="s">
        <v>209</v>
      </c>
      <c r="D262" t="str">
        <f>IFERROR(VLOOKUP(Table2[[#This Row],[TAGS NEW R&amp;D]],B:B,1,FALSE), " ")</f>
        <v>2-000-2A1J20-P</v>
      </c>
    </row>
    <row r="263" spans="2:4" x14ac:dyDescent="0.25">
      <c r="B263" s="52" t="s">
        <v>1630</v>
      </c>
      <c r="C263" s="6" t="s">
        <v>212</v>
      </c>
      <c r="D263" t="str">
        <f>IFERROR(VLOOKUP(Table2[[#This Row],[TAGS NEW R&amp;D]],B:B,1,FALSE), " ")</f>
        <v>2-000-2A1J19-P</v>
      </c>
    </row>
    <row r="264" spans="2:4" x14ac:dyDescent="0.25">
      <c r="B264" s="53" t="s">
        <v>1618</v>
      </c>
      <c r="C264" s="6" t="s">
        <v>215</v>
      </c>
      <c r="D264" t="str">
        <f>IFERROR(VLOOKUP(Table2[[#This Row],[TAGS NEW R&amp;D]],B:B,1,FALSE), " ")</f>
        <v>2-000-2A1J18-P</v>
      </c>
    </row>
    <row r="265" spans="2:4" x14ac:dyDescent="0.25">
      <c r="B265" s="53" t="s">
        <v>1619</v>
      </c>
      <c r="C265" s="6" t="s">
        <v>203</v>
      </c>
      <c r="D265" t="str">
        <f>IFERROR(VLOOKUP(Table2[[#This Row],[TAGS NEW R&amp;D]],B:B,1,FALSE), " ")</f>
        <v>2-000-2A1J17-P</v>
      </c>
    </row>
    <row r="266" spans="2:4" x14ac:dyDescent="0.25">
      <c r="B266" s="52" t="s">
        <v>1616</v>
      </c>
      <c r="C266" s="6" t="s">
        <v>206</v>
      </c>
      <c r="D266" t="str">
        <f>IFERROR(VLOOKUP(Table2[[#This Row],[TAGS NEW R&amp;D]],B:B,1,FALSE), " ")</f>
        <v>2-000-2A1J16-P</v>
      </c>
    </row>
    <row r="267" spans="2:4" x14ac:dyDescent="0.25">
      <c r="B267" s="52" t="s">
        <v>1631</v>
      </c>
      <c r="C267" s="6" t="s">
        <v>200</v>
      </c>
      <c r="D267" t="str">
        <f>IFERROR(VLOOKUP(Table2[[#This Row],[TAGS NEW R&amp;D]],B:B,1,FALSE), " ")</f>
        <v>2-000-2A1J15-P</v>
      </c>
    </row>
    <row r="268" spans="2:4" x14ac:dyDescent="0.25">
      <c r="B268" s="53" t="s">
        <v>1632</v>
      </c>
      <c r="C268" s="6" t="s">
        <v>197</v>
      </c>
      <c r="D268" t="str">
        <f>IFERROR(VLOOKUP(Table2[[#This Row],[TAGS NEW R&amp;D]],B:B,1,FALSE), " ")</f>
        <v>2-000-2A1J13-P</v>
      </c>
    </row>
    <row r="269" spans="2:4" x14ac:dyDescent="0.25">
      <c r="B269" s="53" t="s">
        <v>1592</v>
      </c>
      <c r="C269" t="s">
        <v>761</v>
      </c>
      <c r="D269" t="str">
        <f>IFERROR(VLOOKUP(Table2[[#This Row],[TAGS NEW R&amp;D]],B:B,1,FALSE), " ")</f>
        <v>1-000-TC025_02-X</v>
      </c>
    </row>
    <row r="270" spans="2:4" x14ac:dyDescent="0.25">
      <c r="B270" s="52" t="s">
        <v>172</v>
      </c>
      <c r="C270" t="s">
        <v>765</v>
      </c>
      <c r="D270" t="str">
        <f>IFERROR(VLOOKUP(Table2[[#This Row],[TAGS NEW R&amp;D]],B:B,1,FALSE), " ")</f>
        <v>1-000-TC025_01-X</v>
      </c>
    </row>
    <row r="271" spans="2:4" x14ac:dyDescent="0.25">
      <c r="B271" s="52" t="s">
        <v>1197</v>
      </c>
      <c r="C271" t="s">
        <v>1363</v>
      </c>
      <c r="D271" t="str">
        <f>IFERROR(VLOOKUP(Table2[[#This Row],[TAGS NEW R&amp;D]],B:B,1,FALSE), " ")</f>
        <v>1-000-QI005_11-X</v>
      </c>
    </row>
    <row r="272" spans="2:4" x14ac:dyDescent="0.25">
      <c r="B272" s="52" t="s">
        <v>1165</v>
      </c>
      <c r="C272" t="s">
        <v>1355</v>
      </c>
      <c r="D272" t="str">
        <f>IFERROR(VLOOKUP(Table2[[#This Row],[TAGS NEW R&amp;D]],B:B,1,FALSE), " ")</f>
        <v>1-000-QI005_10-X</v>
      </c>
    </row>
    <row r="273" spans="2:4" x14ac:dyDescent="0.25">
      <c r="B273" s="53" t="s">
        <v>1654</v>
      </c>
      <c r="C273" t="s">
        <v>1279</v>
      </c>
      <c r="D273" t="str">
        <f>IFERROR(VLOOKUP(Table2[[#This Row],[TAGS NEW R&amp;D]],B:B,1,FALSE), " ")</f>
        <v>1-000-PI003_11DP-X</v>
      </c>
    </row>
    <row r="274" spans="2:4" x14ac:dyDescent="0.25">
      <c r="B274" s="53" t="s">
        <v>1615</v>
      </c>
      <c r="C274" t="s">
        <v>1271</v>
      </c>
      <c r="D274" t="str">
        <f>IFERROR(VLOOKUP(Table2[[#This Row],[TAGS NEW R&amp;D]],B:B,1,FALSE), " ")</f>
        <v>1-000-PI002_2DP-X</v>
      </c>
    </row>
    <row r="275" spans="2:4" x14ac:dyDescent="0.25">
      <c r="B275" s="53" t="s">
        <v>1539</v>
      </c>
      <c r="C275" t="s">
        <v>1351</v>
      </c>
      <c r="D275" t="str">
        <f>IFERROR(VLOOKUP(Table2[[#This Row],[TAGS NEW R&amp;D]],B:B,1,FALSE), " ")</f>
        <v>1-000-FI005_9_1-X</v>
      </c>
    </row>
    <row r="276" spans="2:4" x14ac:dyDescent="0.25">
      <c r="B276" s="53" t="s">
        <v>1506</v>
      </c>
      <c r="C276" t="s">
        <v>184</v>
      </c>
      <c r="D276" t="str">
        <f>IFERROR(VLOOKUP(Table2[[#This Row],[TAGS NEW R&amp;D]],B:B,1,FALSE), " ")</f>
        <v>1-000-FC028_03-X</v>
      </c>
    </row>
    <row r="277" spans="2:4" x14ac:dyDescent="0.25">
      <c r="B277" s="52" t="s">
        <v>1509</v>
      </c>
      <c r="C277" t="s">
        <v>180</v>
      </c>
      <c r="D277" t="str">
        <f>IFERROR(VLOOKUP(Table2[[#This Row],[TAGS NEW R&amp;D]],B:B,1,FALSE), " ")</f>
        <v>1-000-FC028_02-X</v>
      </c>
    </row>
    <row r="278" spans="2:4" x14ac:dyDescent="0.25">
      <c r="B278" s="53" t="s">
        <v>1510</v>
      </c>
      <c r="C278" t="s">
        <v>177</v>
      </c>
      <c r="D278" t="str">
        <f>IFERROR(VLOOKUP(Table2[[#This Row],[TAGS NEW R&amp;D]],B:B,1,FALSE), " ")</f>
        <v>1-000-FC028_01-X</v>
      </c>
    </row>
    <row r="279" spans="2:4" x14ac:dyDescent="0.25">
      <c r="B279" s="52" t="s">
        <v>1197</v>
      </c>
      <c r="C279" t="s">
        <v>1371</v>
      </c>
      <c r="D279" t="str">
        <f>IFERROR(VLOOKUP(Table2[[#This Row],[TAGS NEW R&amp;D]],B:B,1,FALSE), " ")</f>
        <v>1-000-FC005_9_2-X</v>
      </c>
    </row>
    <row r="280" spans="2:4" x14ac:dyDescent="0.25">
      <c r="B280" s="52" t="s">
        <v>9</v>
      </c>
      <c r="C280" t="s">
        <v>1339</v>
      </c>
      <c r="D280" t="str">
        <f>IFERROR(VLOOKUP(Table2[[#This Row],[TAGS NEW R&amp;D]],B:B,1,FALSE), " ")</f>
        <v>1-000-FC005_8_2-X</v>
      </c>
    </row>
    <row r="281" spans="2:4" x14ac:dyDescent="0.25">
      <c r="B281" s="53" t="s">
        <v>38</v>
      </c>
      <c r="C281" t="s">
        <v>1335</v>
      </c>
      <c r="D281" t="str">
        <f>IFERROR(VLOOKUP(Table2[[#This Row],[TAGS NEW R&amp;D]],B:B,1,FALSE), " ")</f>
        <v>1-000-FC005_8_1-X</v>
      </c>
    </row>
    <row r="282" spans="2:4" x14ac:dyDescent="0.25">
      <c r="B282" s="53" t="s">
        <v>163</v>
      </c>
      <c r="C282" t="s">
        <v>1311</v>
      </c>
      <c r="D282" t="str">
        <f>IFERROR(VLOOKUP(Table2[[#This Row],[TAGS NEW R&amp;D]],B:B,1,FALSE), " ")</f>
        <v>1-000-FC005_4-X</v>
      </c>
    </row>
    <row r="283" spans="2:4" x14ac:dyDescent="0.25">
      <c r="B283" s="52" t="s">
        <v>134</v>
      </c>
      <c r="C283" t="s">
        <v>1315</v>
      </c>
      <c r="D283" t="str">
        <f>IFERROR(VLOOKUP(Table2[[#This Row],[TAGS NEW R&amp;D]],B:B,1,FALSE), " ")</f>
        <v>1-000-FC005_3-X</v>
      </c>
    </row>
    <row r="284" spans="2:4" x14ac:dyDescent="0.25">
      <c r="B284" s="52" t="s">
        <v>143</v>
      </c>
      <c r="C284" t="s">
        <v>1323</v>
      </c>
      <c r="D284" t="str">
        <f>IFERROR(VLOOKUP(Table2[[#This Row],[TAGS NEW R&amp;D]],B:B,1,FALSE), " ")</f>
        <v>1-000-FC005_2-X</v>
      </c>
    </row>
    <row r="285" spans="2:4" x14ac:dyDescent="0.25">
      <c r="B285" s="53" t="s">
        <v>157</v>
      </c>
      <c r="C285" t="s">
        <v>1327</v>
      </c>
      <c r="D285" t="str">
        <f>IFERROR(VLOOKUP(Table2[[#This Row],[TAGS NEW R&amp;D]],B:B,1,FALSE), " ")</f>
        <v>1-000-FC005_1-X</v>
      </c>
    </row>
    <row r="286" spans="2:4" x14ac:dyDescent="0.25">
      <c r="B286" s="52" t="s">
        <v>1091</v>
      </c>
      <c r="C286" t="s">
        <v>1387</v>
      </c>
      <c r="D286" t="str">
        <f>IFERROR(VLOOKUP(Table2[[#This Row],[TAGS NEW R&amp;D]],B:B,1,FALSE), " ")</f>
        <v>1-000-FC005_14-X</v>
      </c>
    </row>
    <row r="287" spans="2:4" x14ac:dyDescent="0.25">
      <c r="B287" s="53" t="s">
        <v>1216</v>
      </c>
      <c r="C287" t="s">
        <v>1375</v>
      </c>
      <c r="D287" t="str">
        <f>IFERROR(VLOOKUP(Table2[[#This Row],[TAGS NEW R&amp;D]],B:B,1,FALSE), " ")</f>
        <v>1-000-FC005_10-X</v>
      </c>
    </row>
    <row r="288" spans="2:4" x14ac:dyDescent="0.25">
      <c r="B288" s="52" t="s">
        <v>1660</v>
      </c>
      <c r="C288" t="s">
        <v>1283</v>
      </c>
      <c r="D288" t="str">
        <f>IFERROR(VLOOKUP(Table2[[#This Row],[TAGS NEW R&amp;D]],B:B,1,FALSE), " ")</f>
        <v>1-000-FC003_1-X</v>
      </c>
    </row>
    <row r="289" spans="2:4" x14ac:dyDescent="0.25">
      <c r="B289" s="52" t="s">
        <v>1653</v>
      </c>
      <c r="C289" t="s">
        <v>1275</v>
      </c>
      <c r="D289" t="str">
        <f>IFERROR(VLOOKUP(Table2[[#This Row],[TAGS NEW R&amp;D]],B:B,1,FALSE), " ")</f>
        <v>1-000-FC002_1-X</v>
      </c>
    </row>
    <row r="290" spans="2:4" x14ac:dyDescent="0.25">
      <c r="B290" s="53" t="s">
        <v>1193</v>
      </c>
      <c r="C290" t="s">
        <v>1359</v>
      </c>
      <c r="D290" t="str">
        <f>IFERROR(VLOOKUP(Table2[[#This Row],[TAGS NEW R&amp;D]],B:B,1,FALSE), " ")</f>
        <v>1-000-EI005_10-X</v>
      </c>
    </row>
    <row r="291" spans="2:4" x14ac:dyDescent="0.25">
      <c r="B291" s="52" t="s">
        <v>177</v>
      </c>
      <c r="C291" t="s">
        <v>1291</v>
      </c>
      <c r="D291" t="str">
        <f>IFERROR(VLOOKUP(Table2[[#This Row],[TAGS NEW R&amp;D]],B:B,1,FALSE), " ")</f>
        <v>1-000-EI004_2-X</v>
      </c>
    </row>
    <row r="292" spans="2:4" x14ac:dyDescent="0.25">
      <c r="B292" s="53" t="s">
        <v>1661</v>
      </c>
      <c r="C292" t="s">
        <v>1287</v>
      </c>
      <c r="D292" t="str">
        <f>IFERROR(VLOOKUP(Table2[[#This Row],[TAGS NEW R&amp;D]],B:B,1,FALSE), " ")</f>
        <v>1-000-EI004_1-X</v>
      </c>
    </row>
    <row r="293" spans="2:4" x14ac:dyDescent="0.25">
      <c r="B293" s="52" t="s">
        <v>1614</v>
      </c>
      <c r="C293" t="s">
        <v>1267</v>
      </c>
      <c r="D293" t="str">
        <f>IFERROR(VLOOKUP(Table2[[#This Row],[TAGS NEW R&amp;D]],B:B,1,FALSE), " ")</f>
        <v>1-000-EI002_1-X</v>
      </c>
    </row>
    <row r="294" spans="2:4" x14ac:dyDescent="0.25">
      <c r="B294" s="52" t="s">
        <v>1516</v>
      </c>
      <c r="C294" t="s">
        <v>1205</v>
      </c>
      <c r="D294" t="str">
        <f>IFERROR(VLOOKUP(Table2[[#This Row],[TAGS NEW R&amp;D]],B:B,1,FALSE), " ")</f>
        <v>1-000-CC007_01-X</v>
      </c>
    </row>
    <row r="295" spans="2:4" x14ac:dyDescent="0.25">
      <c r="B295" s="53" t="s">
        <v>1514</v>
      </c>
      <c r="C295" t="s">
        <v>1201</v>
      </c>
      <c r="D295" t="str">
        <f>IFERROR(VLOOKUP(Table2[[#This Row],[TAGS NEW R&amp;D]],B:B,1,FALSE), " ")</f>
        <v>1-000-CC006_01-X</v>
      </c>
    </row>
    <row r="296" spans="2:4" x14ac:dyDescent="0.25">
      <c r="B296" s="53" t="s">
        <v>1456</v>
      </c>
      <c r="C296" t="s">
        <v>1343</v>
      </c>
      <c r="D296" t="str">
        <f>IFERROR(VLOOKUP(Table2[[#This Row],[TAGS NEW R&amp;D]],B:B,1,FALSE), " ")</f>
        <v>1-000-CC005_1_3-X</v>
      </c>
    </row>
    <row r="297" spans="2:4" x14ac:dyDescent="0.25">
      <c r="B297" s="52" t="s">
        <v>160</v>
      </c>
      <c r="C297" t="s">
        <v>1331</v>
      </c>
      <c r="D297" t="str">
        <f>IFERROR(VLOOKUP(Table2[[#This Row],[TAGS NEW R&amp;D]],B:B,1,FALSE), " ")</f>
        <v>1-000-CC005_1_2-X</v>
      </c>
    </row>
    <row r="298" spans="2:4" x14ac:dyDescent="0.25">
      <c r="B298" s="53" t="s">
        <v>134</v>
      </c>
      <c r="C298" t="s">
        <v>1319</v>
      </c>
      <c r="D298" t="str">
        <f>IFERROR(VLOOKUP(Table2[[#This Row],[TAGS NEW R&amp;D]],B:B,1,FALSE), " ")</f>
        <v>1-000-CC005_1_1-X</v>
      </c>
    </row>
    <row r="299" spans="2:4" x14ac:dyDescent="0.25">
      <c r="B299" s="53" t="s">
        <v>1197</v>
      </c>
      <c r="C299" t="s">
        <v>1367</v>
      </c>
      <c r="D299" t="str">
        <f>IFERROR(VLOOKUP(Table2[[#This Row],[TAGS NEW R&amp;D]],B:B,1,FALSE), " ")</f>
        <v>1-000-A005_11-X</v>
      </c>
    </row>
    <row r="300" spans="2:4" x14ac:dyDescent="0.25">
      <c r="B300" s="53" t="s">
        <v>206</v>
      </c>
      <c r="C300" t="s">
        <v>1295</v>
      </c>
      <c r="D300" t="str">
        <f>IFERROR(VLOOKUP(Table2[[#This Row],[TAGS NEW R&amp;D]],B:B,1,FALSE), " ")</f>
        <v>1-000-A004_3-X</v>
      </c>
    </row>
    <row r="301" spans="2:4" x14ac:dyDescent="0.25">
      <c r="B301" s="52" t="s">
        <v>166</v>
      </c>
      <c r="C301" t="s">
        <v>1307</v>
      </c>
      <c r="D301" t="str">
        <f>IFERROR(VLOOKUP(Table2[[#This Row],[TAGS NEW R&amp;D]],B:B,1,FALSE), " ")</f>
        <v>1-000-A001_37-X</v>
      </c>
    </row>
    <row r="302" spans="2:4" x14ac:dyDescent="0.25">
      <c r="B302" s="52" t="s">
        <v>1655</v>
      </c>
      <c r="C302" s="44" t="s">
        <v>17</v>
      </c>
      <c r="D302" t="str">
        <f>IFERROR(VLOOKUP(Table2[[#This Row],[TAGS NEW R&amp;D]],B:B,1,FALSE), " ")</f>
        <v xml:space="preserve"> </v>
      </c>
    </row>
    <row r="303" spans="2:4" x14ac:dyDescent="0.25">
      <c r="B303" s="53" t="s">
        <v>1662</v>
      </c>
      <c r="C303" s="44" t="s">
        <v>21</v>
      </c>
      <c r="D303" t="str">
        <f>IFERROR(VLOOKUP(Table2[[#This Row],[TAGS NEW R&amp;D]],B:B,1,FALSE), " ")</f>
        <v xml:space="preserve"> </v>
      </c>
    </row>
    <row r="304" spans="2:4" x14ac:dyDescent="0.25">
      <c r="B304" s="52" t="s">
        <v>1657</v>
      </c>
      <c r="C304" s="44" t="s">
        <v>25</v>
      </c>
      <c r="D304" t="str">
        <f>IFERROR(VLOOKUP(Table2[[#This Row],[TAGS NEW R&amp;D]],B:B,1,FALSE), " ")</f>
        <v xml:space="preserve"> </v>
      </c>
    </row>
    <row r="305" spans="2:4" x14ac:dyDescent="0.25">
      <c r="B305" s="53" t="s">
        <v>1679</v>
      </c>
      <c r="C305" s="44" t="s">
        <v>29</v>
      </c>
      <c r="D305" t="str">
        <f>IFERROR(VLOOKUP(Table2[[#This Row],[TAGS NEW R&amp;D]],B:B,1,FALSE), " ")</f>
        <v xml:space="preserve"> </v>
      </c>
    </row>
    <row r="306" spans="2:4" x14ac:dyDescent="0.25">
      <c r="B306" s="53" t="s">
        <v>1613</v>
      </c>
      <c r="C306" s="44" t="s">
        <v>47</v>
      </c>
      <c r="D306" t="str">
        <f>IFERROR(VLOOKUP(Table2[[#This Row],[TAGS NEW R&amp;D]],B:B,1,FALSE), " ")</f>
        <v xml:space="preserve"> </v>
      </c>
    </row>
    <row r="307" spans="2:4" x14ac:dyDescent="0.25">
      <c r="B307" s="53" t="s">
        <v>1604</v>
      </c>
      <c r="C307" s="44" t="s">
        <v>55</v>
      </c>
      <c r="D307" t="str">
        <f>IFERROR(VLOOKUP(Table2[[#This Row],[TAGS NEW R&amp;D]],B:B,1,FALSE), " ")</f>
        <v xml:space="preserve"> </v>
      </c>
    </row>
    <row r="308" spans="2:4" x14ac:dyDescent="0.25">
      <c r="B308" s="53" t="s">
        <v>1466</v>
      </c>
      <c r="C308" s="44" t="s">
        <v>73</v>
      </c>
      <c r="D308" t="str">
        <f>IFERROR(VLOOKUP(Table2[[#This Row],[TAGS NEW R&amp;D]],B:B,1,FALSE), " ")</f>
        <v xml:space="preserve"> </v>
      </c>
    </row>
    <row r="309" spans="2:4" x14ac:dyDescent="0.25">
      <c r="B309" s="52" t="s">
        <v>1470</v>
      </c>
      <c r="C309" s="44" t="s">
        <v>77</v>
      </c>
      <c r="D309" t="str">
        <f>IFERROR(VLOOKUP(Table2[[#This Row],[TAGS NEW R&amp;D]],B:B,1,FALSE), " ")</f>
        <v xml:space="preserve"> </v>
      </c>
    </row>
    <row r="310" spans="2:4" x14ac:dyDescent="0.25">
      <c r="B310" s="53" t="s">
        <v>1449</v>
      </c>
      <c r="C310" s="44" t="s">
        <v>80</v>
      </c>
      <c r="D310" t="str">
        <f>IFERROR(VLOOKUP(Table2[[#This Row],[TAGS NEW R&amp;D]],B:B,1,FALSE), " ")</f>
        <v xml:space="preserve"> </v>
      </c>
    </row>
    <row r="311" spans="2:4" x14ac:dyDescent="0.25">
      <c r="B311" s="52" t="s">
        <v>1468</v>
      </c>
      <c r="C311" s="44" t="s">
        <v>84</v>
      </c>
      <c r="D311" t="str">
        <f>IFERROR(VLOOKUP(Table2[[#This Row],[TAGS NEW R&amp;D]],B:B,1,FALSE), " ")</f>
        <v xml:space="preserve"> </v>
      </c>
    </row>
    <row r="312" spans="2:4" x14ac:dyDescent="0.25">
      <c r="B312" s="53" t="s">
        <v>1651</v>
      </c>
      <c r="C312" s="44" t="s">
        <v>88</v>
      </c>
      <c r="D312" t="str">
        <f>IFERROR(VLOOKUP(Table2[[#This Row],[TAGS NEW R&amp;D]],B:B,1,FALSE), " ")</f>
        <v xml:space="preserve"> </v>
      </c>
    </row>
    <row r="313" spans="2:4" x14ac:dyDescent="0.25">
      <c r="B313" s="53" t="s">
        <v>1650</v>
      </c>
      <c r="C313" s="44" t="s">
        <v>128</v>
      </c>
      <c r="D313" t="str">
        <f>IFERROR(VLOOKUP(Table2[[#This Row],[TAGS NEW R&amp;D]],B:B,1,FALSE), " ")</f>
        <v xml:space="preserve"> </v>
      </c>
    </row>
    <row r="314" spans="2:4" x14ac:dyDescent="0.25">
      <c r="B314" s="52" t="s">
        <v>1663</v>
      </c>
      <c r="C314" s="44" t="s">
        <v>137</v>
      </c>
      <c r="D314" t="str">
        <f>IFERROR(VLOOKUP(Table2[[#This Row],[TAGS NEW R&amp;D]],B:B,1,FALSE), " ")</f>
        <v xml:space="preserve"> </v>
      </c>
    </row>
    <row r="315" spans="2:4" x14ac:dyDescent="0.25">
      <c r="B315" s="53" t="s">
        <v>1668</v>
      </c>
      <c r="C315" s="44" t="s">
        <v>139</v>
      </c>
      <c r="D315" t="str">
        <f>IFERROR(VLOOKUP(Table2[[#This Row],[TAGS NEW R&amp;D]],B:B,1,FALSE), " ")</f>
        <v xml:space="preserve"> </v>
      </c>
    </row>
    <row r="316" spans="2:4" x14ac:dyDescent="0.25">
      <c r="B316" s="53" t="s">
        <v>1667</v>
      </c>
      <c r="C316" s="44" t="s">
        <v>146</v>
      </c>
      <c r="D316" t="str">
        <f>IFERROR(VLOOKUP(Table2[[#This Row],[TAGS NEW R&amp;D]],B:B,1,FALSE), " ")</f>
        <v xml:space="preserve"> </v>
      </c>
    </row>
    <row r="317" spans="2:4" x14ac:dyDescent="0.25">
      <c r="B317" s="53" t="s">
        <v>1638</v>
      </c>
      <c r="C317" s="44" t="s">
        <v>154</v>
      </c>
      <c r="D317" t="str">
        <f>IFERROR(VLOOKUP(Table2[[#This Row],[TAGS NEW R&amp;D]],B:B,1,FALSE), " ")</f>
        <v xml:space="preserve"> </v>
      </c>
    </row>
    <row r="318" spans="2:4" x14ac:dyDescent="0.25">
      <c r="B318" s="52" t="s">
        <v>1387</v>
      </c>
      <c r="C318" s="44" t="s">
        <v>175</v>
      </c>
      <c r="D318" t="str">
        <f>IFERROR(VLOOKUP(Table2[[#This Row],[TAGS NEW R&amp;D]],B:B,1,FALSE), " ")</f>
        <v xml:space="preserve"> </v>
      </c>
    </row>
    <row r="319" spans="2:4" x14ac:dyDescent="0.25">
      <c r="B319" s="52" t="s">
        <v>1508</v>
      </c>
      <c r="C319" s="44" t="s">
        <v>188</v>
      </c>
      <c r="D319" t="str">
        <f>IFERROR(VLOOKUP(Table2[[#This Row],[TAGS NEW R&amp;D]],B:B,1,FALSE), " ")</f>
        <v xml:space="preserve"> </v>
      </c>
    </row>
    <row r="320" spans="2:4" x14ac:dyDescent="0.25">
      <c r="B320" s="53" t="s">
        <v>1498</v>
      </c>
      <c r="C320" s="44" t="s">
        <v>191</v>
      </c>
      <c r="D320" t="str">
        <f>IFERROR(VLOOKUP(Table2[[#This Row],[TAGS NEW R&amp;D]],B:B,1,FALSE), " ")</f>
        <v xml:space="preserve"> </v>
      </c>
    </row>
    <row r="321" spans="2:4" x14ac:dyDescent="0.25">
      <c r="B321" s="52" t="s">
        <v>1507</v>
      </c>
      <c r="C321" s="44" t="s">
        <v>194</v>
      </c>
      <c r="D321" t="str">
        <f>IFERROR(VLOOKUP(Table2[[#This Row],[TAGS NEW R&amp;D]],B:B,1,FALSE), " ")</f>
        <v xml:space="preserve"> </v>
      </c>
    </row>
    <row r="322" spans="2:4" x14ac:dyDescent="0.25">
      <c r="B322" s="53" t="s">
        <v>1550</v>
      </c>
      <c r="C322" s="44" t="s">
        <v>331</v>
      </c>
      <c r="D322" t="str">
        <f>IFERROR(VLOOKUP(Table2[[#This Row],[TAGS NEW R&amp;D]],B:B,1,FALSE), " ")</f>
        <v xml:space="preserve"> </v>
      </c>
    </row>
    <row r="323" spans="2:4" x14ac:dyDescent="0.25">
      <c r="B323" s="53" t="s">
        <v>1549</v>
      </c>
      <c r="C323" s="44" t="s">
        <v>393</v>
      </c>
      <c r="D323" t="str">
        <f>IFERROR(VLOOKUP(Table2[[#This Row],[TAGS NEW R&amp;D]],B:B,1,FALSE), " ")</f>
        <v xml:space="preserve"> </v>
      </c>
    </row>
    <row r="324" spans="2:4" x14ac:dyDescent="0.25">
      <c r="B324" s="52" t="s">
        <v>1549</v>
      </c>
      <c r="C324" s="44" t="s">
        <v>397</v>
      </c>
      <c r="D324" t="str">
        <f>IFERROR(VLOOKUP(Table2[[#This Row],[TAGS NEW R&amp;D]],B:B,1,FALSE), " ")</f>
        <v xml:space="preserve"> </v>
      </c>
    </row>
    <row r="325" spans="2:4" x14ac:dyDescent="0.25">
      <c r="B325" s="53" t="s">
        <v>1559</v>
      </c>
      <c r="C325" s="44" t="s">
        <v>401</v>
      </c>
      <c r="D325" t="str">
        <f>IFERROR(VLOOKUP(Table2[[#This Row],[TAGS NEW R&amp;D]],B:B,1,FALSE), " ")</f>
        <v xml:space="preserve"> </v>
      </c>
    </row>
    <row r="326" spans="2:4" x14ac:dyDescent="0.25">
      <c r="B326" s="53" t="s">
        <v>1542</v>
      </c>
      <c r="C326" s="44" t="s">
        <v>409</v>
      </c>
      <c r="D326" t="str">
        <f>IFERROR(VLOOKUP(Table2[[#This Row],[TAGS NEW R&amp;D]],B:B,1,FALSE), " ")</f>
        <v xml:space="preserve"> </v>
      </c>
    </row>
    <row r="327" spans="2:4" x14ac:dyDescent="0.25">
      <c r="B327" s="52" t="s">
        <v>1540</v>
      </c>
      <c r="C327" s="44" t="s">
        <v>429</v>
      </c>
      <c r="D327" t="str">
        <f>IFERROR(VLOOKUP(Table2[[#This Row],[TAGS NEW R&amp;D]],B:B,1,FALSE), " ")</f>
        <v xml:space="preserve"> </v>
      </c>
    </row>
    <row r="328" spans="2:4" x14ac:dyDescent="0.25">
      <c r="B328" s="53" t="s">
        <v>1484</v>
      </c>
      <c r="C328" s="44" t="s">
        <v>433</v>
      </c>
      <c r="D328" t="str">
        <f>IFERROR(VLOOKUP(Table2[[#This Row],[TAGS NEW R&amp;D]],B:B,1,FALSE), " ")</f>
        <v xml:space="preserve"> </v>
      </c>
    </row>
    <row r="329" spans="2:4" x14ac:dyDescent="0.25">
      <c r="B329" s="53" t="s">
        <v>1477</v>
      </c>
      <c r="C329" s="44" t="s">
        <v>441</v>
      </c>
      <c r="D329" t="str">
        <f>IFERROR(VLOOKUP(Table2[[#This Row],[TAGS NEW R&amp;D]],B:B,1,FALSE), " ")</f>
        <v xml:space="preserve"> </v>
      </c>
    </row>
    <row r="330" spans="2:4" x14ac:dyDescent="0.25">
      <c r="B330" s="52" t="s">
        <v>1488</v>
      </c>
      <c r="C330" s="44" t="s">
        <v>481</v>
      </c>
      <c r="D330" t="str">
        <f>IFERROR(VLOOKUP(Table2[[#This Row],[TAGS NEW R&amp;D]],B:B,1,FALSE), " ")</f>
        <v xml:space="preserve"> </v>
      </c>
    </row>
    <row r="331" spans="2:4" x14ac:dyDescent="0.25">
      <c r="B331" s="53" t="s">
        <v>1609</v>
      </c>
      <c r="C331" s="44" t="s">
        <v>494</v>
      </c>
      <c r="D331" t="str">
        <f>IFERROR(VLOOKUP(Table2[[#This Row],[TAGS NEW R&amp;D]],B:B,1,FALSE), " ")</f>
        <v xml:space="preserve"> </v>
      </c>
    </row>
    <row r="332" spans="2:4" x14ac:dyDescent="0.25">
      <c r="B332" s="53" t="s">
        <v>1562</v>
      </c>
      <c r="C332" s="44" t="s">
        <v>625</v>
      </c>
      <c r="D332" t="str">
        <f>IFERROR(VLOOKUP(Table2[[#This Row],[TAGS NEW R&amp;D]],B:B,1,FALSE), " ")</f>
        <v xml:space="preserve"> </v>
      </c>
    </row>
    <row r="333" spans="2:4" x14ac:dyDescent="0.25">
      <c r="B333" s="52" t="s">
        <v>1644</v>
      </c>
      <c r="C333" s="44" t="s">
        <v>629</v>
      </c>
      <c r="D333" t="str">
        <f>IFERROR(VLOOKUP(Table2[[#This Row],[TAGS NEW R&amp;D]],B:B,1,FALSE), " ")</f>
        <v xml:space="preserve"> </v>
      </c>
    </row>
    <row r="334" spans="2:4" x14ac:dyDescent="0.25">
      <c r="B334" s="53" t="s">
        <v>1652</v>
      </c>
      <c r="C334" s="44" t="s">
        <v>633</v>
      </c>
      <c r="D334" t="str">
        <f>IFERROR(VLOOKUP(Table2[[#This Row],[TAGS NEW R&amp;D]],B:B,1,FALSE), " ")</f>
        <v xml:space="preserve"> </v>
      </c>
    </row>
    <row r="335" spans="2:4" x14ac:dyDescent="0.25">
      <c r="B335" s="52" t="s">
        <v>1645</v>
      </c>
      <c r="C335" s="44" t="s">
        <v>637</v>
      </c>
      <c r="D335" t="str">
        <f>IFERROR(VLOOKUP(Table2[[#This Row],[TAGS NEW R&amp;D]],B:B,1,FALSE), " ")</f>
        <v xml:space="preserve"> </v>
      </c>
    </row>
    <row r="336" spans="2:4" x14ac:dyDescent="0.25">
      <c r="B336" s="53" t="s">
        <v>1642</v>
      </c>
      <c r="C336" s="44" t="s">
        <v>641</v>
      </c>
      <c r="D336" t="str">
        <f>IFERROR(VLOOKUP(Table2[[#This Row],[TAGS NEW R&amp;D]],B:B,1,FALSE), " ")</f>
        <v xml:space="preserve"> </v>
      </c>
    </row>
    <row r="337" spans="2:4" x14ac:dyDescent="0.25">
      <c r="B337" s="52" t="s">
        <v>1677</v>
      </c>
      <c r="C337" s="44" t="s">
        <v>645</v>
      </c>
      <c r="D337" t="str">
        <f>IFERROR(VLOOKUP(Table2[[#This Row],[TAGS NEW R&amp;D]],B:B,1,FALSE), " ")</f>
        <v xml:space="preserve"> </v>
      </c>
    </row>
    <row r="338" spans="2:4" x14ac:dyDescent="0.25">
      <c r="B338" s="53" t="s">
        <v>1595</v>
      </c>
      <c r="C338" s="44" t="s">
        <v>649</v>
      </c>
      <c r="D338" t="str">
        <f>IFERROR(VLOOKUP(Table2[[#This Row],[TAGS NEW R&amp;D]],B:B,1,FALSE), " ")</f>
        <v xml:space="preserve"> </v>
      </c>
    </row>
    <row r="339" spans="2:4" x14ac:dyDescent="0.25">
      <c r="B339" s="52" t="s">
        <v>1496</v>
      </c>
      <c r="C339" s="44" t="s">
        <v>653</v>
      </c>
      <c r="D339" t="str">
        <f>IFERROR(VLOOKUP(Table2[[#This Row],[TAGS NEW R&amp;D]],B:B,1,FALSE), " ")</f>
        <v xml:space="preserve"> </v>
      </c>
    </row>
    <row r="340" spans="2:4" x14ac:dyDescent="0.25">
      <c r="B340" s="53" t="s">
        <v>1580</v>
      </c>
      <c r="C340" s="44" t="s">
        <v>697</v>
      </c>
      <c r="D340" t="str">
        <f>IFERROR(VLOOKUP(Table2[[#This Row],[TAGS NEW R&amp;D]],B:B,1,FALSE), " ")</f>
        <v xml:space="preserve"> </v>
      </c>
    </row>
    <row r="341" spans="2:4" x14ac:dyDescent="0.25">
      <c r="B341" s="53" t="s">
        <v>1323</v>
      </c>
      <c r="C341" s="44" t="s">
        <v>817</v>
      </c>
      <c r="D341" t="str">
        <f>IFERROR(VLOOKUP(Table2[[#This Row],[TAGS NEW R&amp;D]],B:B,1,FALSE), " ")</f>
        <v xml:space="preserve"> </v>
      </c>
    </row>
    <row r="342" spans="2:4" x14ac:dyDescent="0.25">
      <c r="B342" s="52" t="s">
        <v>1335</v>
      </c>
      <c r="C342" s="44" t="s">
        <v>821</v>
      </c>
      <c r="D342" t="str">
        <f>IFERROR(VLOOKUP(Table2[[#This Row],[TAGS NEW R&amp;D]],B:B,1,FALSE), " ")</f>
        <v xml:space="preserve"> </v>
      </c>
    </row>
    <row r="343" spans="2:4" x14ac:dyDescent="0.25">
      <c r="B343" s="53" t="s">
        <v>1534</v>
      </c>
      <c r="C343" s="44" t="s">
        <v>958</v>
      </c>
      <c r="D343" t="str">
        <f>IFERROR(VLOOKUP(Table2[[#This Row],[TAGS NEW R&amp;D]],B:B,1,FALSE), " ")</f>
        <v xml:space="preserve"> </v>
      </c>
    </row>
    <row r="344" spans="2:4" x14ac:dyDescent="0.25">
      <c r="B344" s="52" t="s">
        <v>1283</v>
      </c>
      <c r="C344" s="44" t="s">
        <v>962</v>
      </c>
      <c r="D344" t="str">
        <f>IFERROR(VLOOKUP(Table2[[#This Row],[TAGS NEW R&amp;D]],B:B,1,FALSE), " ")</f>
        <v xml:space="preserve"> </v>
      </c>
    </row>
    <row r="345" spans="2:4" x14ac:dyDescent="0.25">
      <c r="B345" s="53" t="s">
        <v>1319</v>
      </c>
      <c r="C345" s="44" t="s">
        <v>974</v>
      </c>
      <c r="D345" t="str">
        <f>IFERROR(VLOOKUP(Table2[[#This Row],[TAGS NEW R&amp;D]],B:B,1,FALSE), " ")</f>
        <v xml:space="preserve"> </v>
      </c>
    </row>
    <row r="346" spans="2:4" x14ac:dyDescent="0.25">
      <c r="B346" s="52" t="s">
        <v>1572</v>
      </c>
      <c r="C346" s="44" t="s">
        <v>1237</v>
      </c>
      <c r="D346" t="str">
        <f>IFERROR(VLOOKUP(Table2[[#This Row],[TAGS NEW R&amp;D]],B:B,1,FALSE), " ")</f>
        <v xml:space="preserve"> </v>
      </c>
    </row>
    <row r="347" spans="2:4" x14ac:dyDescent="0.25">
      <c r="B347" s="53" t="s">
        <v>1577</v>
      </c>
      <c r="C347" s="44" t="s">
        <v>1256</v>
      </c>
      <c r="D347" t="str">
        <f>IFERROR(VLOOKUP(Table2[[#This Row],[TAGS NEW R&amp;D]],B:B,1,FALSE), " ")</f>
        <v xml:space="preserve"> </v>
      </c>
    </row>
    <row r="348" spans="2:4" x14ac:dyDescent="0.25">
      <c r="B348" s="53" t="s">
        <v>1584</v>
      </c>
      <c r="C348" s="44" t="s">
        <v>1264</v>
      </c>
      <c r="D348" t="str">
        <f>IFERROR(VLOOKUP(Table2[[#This Row],[TAGS NEW R&amp;D]],B:B,1,FALSE), " ")</f>
        <v xml:space="preserve"> </v>
      </c>
    </row>
    <row r="349" spans="2:4" x14ac:dyDescent="0.25">
      <c r="B349" s="52" t="s">
        <v>203</v>
      </c>
      <c r="C349" s="44" t="s">
        <v>1299</v>
      </c>
      <c r="D349" t="str">
        <f>IFERROR(VLOOKUP(Table2[[#This Row],[TAGS NEW R&amp;D]],B:B,1,FALSE), " ")</f>
        <v xml:space="preserve"> </v>
      </c>
    </row>
    <row r="350" spans="2:4" x14ac:dyDescent="0.25">
      <c r="B350" s="53" t="s">
        <v>221</v>
      </c>
      <c r="C350" s="44" t="s">
        <v>1303</v>
      </c>
      <c r="D350" t="str">
        <f>IFERROR(VLOOKUP(Table2[[#This Row],[TAGS NEW R&amp;D]],B:B,1,FALSE), " ")</f>
        <v xml:space="preserve"> </v>
      </c>
    </row>
    <row r="351" spans="2:4" x14ac:dyDescent="0.25">
      <c r="B351" s="52" t="s">
        <v>1458</v>
      </c>
      <c r="C351" s="44" t="s">
        <v>1347</v>
      </c>
      <c r="D351" t="str">
        <f>IFERROR(VLOOKUP(Table2[[#This Row],[TAGS NEW R&amp;D]],B:B,1,FALSE), " ")</f>
        <v xml:space="preserve"> </v>
      </c>
    </row>
    <row r="352" spans="2:4" x14ac:dyDescent="0.25">
      <c r="B352" s="52" t="s">
        <v>169</v>
      </c>
      <c r="C352" s="44" t="s">
        <v>1379</v>
      </c>
      <c r="D352" t="str">
        <f>IFERROR(VLOOKUP(Table2[[#This Row],[TAGS NEW R&amp;D]],B:B,1,FALSE), " ")</f>
        <v xml:space="preserve"> </v>
      </c>
    </row>
    <row r="353" spans="2:4" x14ac:dyDescent="0.25">
      <c r="B353" s="53" t="s">
        <v>1079</v>
      </c>
      <c r="C353" s="44" t="s">
        <v>1383</v>
      </c>
      <c r="D353" t="str">
        <f>IFERROR(VLOOKUP(Table2[[#This Row],[TAGS NEW R&amp;D]],B:B,1,FALSE), " ")</f>
        <v xml:space="preserve"> </v>
      </c>
    </row>
    <row r="354" spans="2:4" x14ac:dyDescent="0.25">
      <c r="B354" s="53" t="s">
        <v>1161</v>
      </c>
      <c r="C354" s="44" t="s">
        <v>1391</v>
      </c>
      <c r="D354" t="str">
        <f>IFERROR(VLOOKUP(Table2[[#This Row],[TAGS NEW R&amp;D]],B:B,1,FALSE), " ")</f>
        <v xml:space="preserve"> </v>
      </c>
    </row>
    <row r="355" spans="2:4" x14ac:dyDescent="0.25">
      <c r="B355" s="52" t="s">
        <v>1083</v>
      </c>
      <c r="C355" s="44" t="s">
        <v>1395</v>
      </c>
      <c r="D355" t="str">
        <f>IFERROR(VLOOKUP(Table2[[#This Row],[TAGS NEW R&amp;D]],B:B,1,FALSE), " ")</f>
        <v xml:space="preserve"> </v>
      </c>
    </row>
    <row r="356" spans="2:4" x14ac:dyDescent="0.25">
      <c r="B356" s="53" t="s">
        <v>1099</v>
      </c>
      <c r="C356" s="44" t="s">
        <v>1399</v>
      </c>
      <c r="D356" t="str">
        <f>IFERROR(VLOOKUP(Table2[[#This Row],[TAGS NEW R&amp;D]],B:B,1,FALSE), " ")</f>
        <v xml:space="preserve"> </v>
      </c>
    </row>
    <row r="357" spans="2:4" x14ac:dyDescent="0.25">
      <c r="B357" s="52" t="s">
        <v>1103</v>
      </c>
      <c r="C357" s="44" t="s">
        <v>1403</v>
      </c>
      <c r="D357" t="str">
        <f>IFERROR(VLOOKUP(Table2[[#This Row],[TAGS NEW R&amp;D]],B:B,1,FALSE), " ")</f>
        <v xml:space="preserve"> </v>
      </c>
    </row>
    <row r="358" spans="2:4" x14ac:dyDescent="0.25">
      <c r="B358" s="52" t="s">
        <v>1107</v>
      </c>
      <c r="C358" s="44" t="s">
        <v>1411</v>
      </c>
      <c r="D358" t="str">
        <f>IFERROR(VLOOKUP(Table2[[#This Row],[TAGS NEW R&amp;D]],B:B,1,FALSE), " ")</f>
        <v xml:space="preserve"> </v>
      </c>
    </row>
    <row r="359" spans="2:4" x14ac:dyDescent="0.25">
      <c r="B359" s="53" t="s">
        <v>1127</v>
      </c>
      <c r="C359" s="44" t="s">
        <v>1415</v>
      </c>
      <c r="D359" t="str">
        <f>IFERROR(VLOOKUP(Table2[[#This Row],[TAGS NEW R&amp;D]],B:B,1,FALSE), " ")</f>
        <v xml:space="preserve"> </v>
      </c>
    </row>
    <row r="360" spans="2:4" x14ac:dyDescent="0.25">
      <c r="B360" s="52" t="s">
        <v>1123</v>
      </c>
      <c r="C360" s="44" t="s">
        <v>1419</v>
      </c>
      <c r="D360" t="str">
        <f>IFERROR(VLOOKUP(Table2[[#This Row],[TAGS NEW R&amp;D]],B:B,1,FALSE), " ")</f>
        <v xml:space="preserve"> </v>
      </c>
    </row>
    <row r="361" spans="2:4" x14ac:dyDescent="0.25">
      <c r="B361" s="53" t="s">
        <v>34</v>
      </c>
      <c r="C361" s="44" t="s">
        <v>1423</v>
      </c>
      <c r="D361" t="str">
        <f>IFERROR(VLOOKUP(Table2[[#This Row],[TAGS NEW R&amp;D]],B:B,1,FALSE), " ")</f>
        <v xml:space="preserve"> </v>
      </c>
    </row>
    <row r="362" spans="2:4" x14ac:dyDescent="0.25">
      <c r="B362" s="52" t="s">
        <v>1189</v>
      </c>
      <c r="C362" s="44" t="s">
        <v>1427</v>
      </c>
      <c r="D362" t="str">
        <f>IFERROR(VLOOKUP(Table2[[#This Row],[TAGS NEW R&amp;D]],B:B,1,FALSE), " ")</f>
        <v xml:space="preserve"> </v>
      </c>
    </row>
    <row r="363" spans="2:4" x14ac:dyDescent="0.25">
      <c r="B363" s="53" t="s">
        <v>1153</v>
      </c>
      <c r="C363" s="44" t="s">
        <v>1429</v>
      </c>
      <c r="D363" t="str">
        <f>IFERROR(VLOOKUP(Table2[[#This Row],[TAGS NEW R&amp;D]],B:B,1,FALSE), " ")</f>
        <v xml:space="preserve"> </v>
      </c>
    </row>
    <row r="364" spans="2:4" x14ac:dyDescent="0.25">
      <c r="B364" s="52" t="s">
        <v>1143</v>
      </c>
      <c r="C364" s="44" t="s">
        <v>1433</v>
      </c>
      <c r="D364" t="str">
        <f>IFERROR(VLOOKUP(Table2[[#This Row],[TAGS NEW R&amp;D]],B:B,1,FALSE), " ")</f>
        <v xml:space="preserve"> </v>
      </c>
    </row>
    <row r="365" spans="2:4" x14ac:dyDescent="0.25">
      <c r="B365" s="53" t="s">
        <v>1135</v>
      </c>
      <c r="C365" s="44" t="s">
        <v>1437</v>
      </c>
      <c r="D365" t="str">
        <f>IFERROR(VLOOKUP(Table2[[#This Row],[TAGS NEW R&amp;D]],B:B,1,FALSE), " ")</f>
        <v xml:space="preserve"> </v>
      </c>
    </row>
    <row r="366" spans="2:4" x14ac:dyDescent="0.25">
      <c r="B366" s="52" t="s">
        <v>1131</v>
      </c>
      <c r="C366" s="44" t="s">
        <v>1441</v>
      </c>
      <c r="D366" t="str">
        <f>IFERROR(VLOOKUP(Table2[[#This Row],[TAGS NEW R&amp;D]],B:B,1,FALSE), " ")</f>
        <v xml:space="preserve"> </v>
      </c>
    </row>
    <row r="367" spans="2:4" x14ac:dyDescent="0.25">
      <c r="B367" s="53" t="s">
        <v>1087</v>
      </c>
      <c r="C367" s="44" t="s">
        <v>1445</v>
      </c>
      <c r="D367" t="str">
        <f>IFERROR(VLOOKUP(Table2[[#This Row],[TAGS NEW R&amp;D]],B:B,1,FALSE), " ")</f>
        <v xml:space="preserve"> </v>
      </c>
    </row>
    <row r="368" spans="2:4" x14ac:dyDescent="0.25">
      <c r="B368" s="52" t="s">
        <v>1095</v>
      </c>
      <c r="D368" t="str">
        <f>IFERROR(VLOOKUP(Table2[[#This Row],[TAGS NEW R&amp;D]],B:B,1,FALSE), " ")</f>
        <v xml:space="preserve"> </v>
      </c>
    </row>
    <row r="369" spans="2:4" x14ac:dyDescent="0.25">
      <c r="B369" s="53" t="s">
        <v>1055</v>
      </c>
      <c r="D369" t="str">
        <f>IFERROR(VLOOKUP(Table2[[#This Row],[TAGS NEW R&amp;D]],B:B,1,FALSE), " ")</f>
        <v xml:space="preserve"> </v>
      </c>
    </row>
    <row r="370" spans="2:4" x14ac:dyDescent="0.25">
      <c r="B370" s="52" t="s">
        <v>1063</v>
      </c>
      <c r="D370" t="str">
        <f>IFERROR(VLOOKUP(Table2[[#This Row],[TAGS NEW R&amp;D]],B:B,1,FALSE), " ")</f>
        <v xml:space="preserve"> </v>
      </c>
    </row>
    <row r="371" spans="2:4" x14ac:dyDescent="0.25">
      <c r="B371" s="53" t="s">
        <v>1071</v>
      </c>
      <c r="D371" t="str">
        <f>IFERROR(VLOOKUP(Table2[[#This Row],[TAGS NEW R&amp;D]],B:B,1,FALSE), " ")</f>
        <v xml:space="preserve"> </v>
      </c>
    </row>
    <row r="372" spans="2:4" x14ac:dyDescent="0.25">
      <c r="B372" s="52" t="s">
        <v>1119</v>
      </c>
      <c r="D372" t="str">
        <f>IFERROR(VLOOKUP(Table2[[#This Row],[TAGS NEW R&amp;D]],B:B,1,FALSE), " ")</f>
        <v xml:space="preserve"> </v>
      </c>
    </row>
    <row r="373" spans="2:4" x14ac:dyDescent="0.25">
      <c r="B373" s="53" t="s">
        <v>1181</v>
      </c>
      <c r="D373" t="str">
        <f>IFERROR(VLOOKUP(Table2[[#This Row],[TAGS NEW R&amp;D]],B:B,1,FALSE), " ")</f>
        <v xml:space="preserve"> </v>
      </c>
    </row>
    <row r="374" spans="2:4" x14ac:dyDescent="0.25">
      <c r="B374" s="52" t="s">
        <v>1139</v>
      </c>
      <c r="D374" t="str">
        <f>IFERROR(VLOOKUP(Table2[[#This Row],[TAGS NEW R&amp;D]],B:B,1,FALSE), " ")</f>
        <v xml:space="preserve"> </v>
      </c>
    </row>
    <row r="375" spans="2:4" x14ac:dyDescent="0.25">
      <c r="B375" s="53" t="s">
        <v>1169</v>
      </c>
      <c r="D375" t="str">
        <f>IFERROR(VLOOKUP(Table2[[#This Row],[TAGS NEW R&amp;D]],B:B,1,FALSE), " ")</f>
        <v xml:space="preserve"> </v>
      </c>
    </row>
    <row r="376" spans="2:4" x14ac:dyDescent="0.25">
      <c r="B376" s="52" t="s">
        <v>1075</v>
      </c>
      <c r="D376" t="str">
        <f>IFERROR(VLOOKUP(Table2[[#This Row],[TAGS NEW R&amp;D]],B:B,1,FALSE), " ")</f>
        <v xml:space="preserve"> </v>
      </c>
    </row>
    <row r="377" spans="2:4" x14ac:dyDescent="0.25">
      <c r="B377" s="53" t="s">
        <v>1059</v>
      </c>
      <c r="D377" t="str">
        <f>IFERROR(VLOOKUP(Table2[[#This Row],[TAGS NEW R&amp;D]],B:B,1,FALSE), " ")</f>
        <v xml:space="preserve"> </v>
      </c>
    </row>
    <row r="378" spans="2:4" x14ac:dyDescent="0.25">
      <c r="B378" s="52" t="s">
        <v>1067</v>
      </c>
      <c r="D378" t="str">
        <f>IFERROR(VLOOKUP(Table2[[#This Row],[TAGS NEW R&amp;D]],B:B,1,FALSE), " ")</f>
        <v xml:space="preserve"> </v>
      </c>
    </row>
    <row r="379" spans="2:4" x14ac:dyDescent="0.25">
      <c r="B379" s="53" t="s">
        <v>1115</v>
      </c>
      <c r="D379" t="str">
        <f>IFERROR(VLOOKUP(Table2[[#This Row],[TAGS NEW R&amp;D]],B:B,1,FALSE), " ")</f>
        <v xml:space="preserve"> </v>
      </c>
    </row>
    <row r="380" spans="2:4" x14ac:dyDescent="0.25">
      <c r="B380" s="52" t="s">
        <v>657</v>
      </c>
      <c r="D380" t="str">
        <f>IFERROR(VLOOKUP(Table2[[#This Row],[TAGS NEW R&amp;D]],B:B,1,FALSE), " ")</f>
        <v xml:space="preserve"> </v>
      </c>
    </row>
    <row r="381" spans="2:4" x14ac:dyDescent="0.25">
      <c r="B381" s="53" t="s">
        <v>1033</v>
      </c>
      <c r="D381" t="str">
        <f>IFERROR(VLOOKUP(Table2[[#This Row],[TAGS NEW R&amp;D]],B:B,1,FALSE), " ")</f>
        <v xml:space="preserve"> </v>
      </c>
    </row>
    <row r="382" spans="2:4" x14ac:dyDescent="0.25">
      <c r="B382" s="52" t="s">
        <v>1033</v>
      </c>
      <c r="D382" t="str">
        <f>IFERROR(VLOOKUP(Table2[[#This Row],[TAGS NEW R&amp;D]],B:B,1,FALSE), " ")</f>
        <v xml:space="preserve"> </v>
      </c>
    </row>
    <row r="383" spans="2:4" x14ac:dyDescent="0.25">
      <c r="B383" s="53" t="s">
        <v>1244</v>
      </c>
      <c r="D383" t="str">
        <f>IFERROR(VLOOKUP(Table2[[#This Row],[TAGS NEW R&amp;D]],B:B,1,FALSE), " ")</f>
        <v xml:space="preserve"> </v>
      </c>
    </row>
    <row r="384" spans="2:4" x14ac:dyDescent="0.25">
      <c r="B384" s="52" t="s">
        <v>1233</v>
      </c>
      <c r="D384" t="str">
        <f>IFERROR(VLOOKUP(Table2[[#This Row],[TAGS NEW R&amp;D]],B:B,1,FALSE), " ")</f>
        <v xml:space="preserve"> </v>
      </c>
    </row>
    <row r="385" spans="2:4" x14ac:dyDescent="0.25">
      <c r="B385" s="53" t="s">
        <v>1248</v>
      </c>
      <c r="D385" t="str">
        <f>IFERROR(VLOOKUP(Table2[[#This Row],[TAGS NEW R&amp;D]],B:B,1,FALSE), " ")</f>
        <v xml:space="preserve"> </v>
      </c>
    </row>
    <row r="386" spans="2:4" x14ac:dyDescent="0.25">
      <c r="B386" s="52" t="s">
        <v>1252</v>
      </c>
      <c r="D386" t="str">
        <f>IFERROR(VLOOKUP(Table2[[#This Row],[TAGS NEW R&amp;D]],B:B,1,FALSE), " ")</f>
        <v xml:space="preserve"> </v>
      </c>
    </row>
    <row r="387" spans="2:4" x14ac:dyDescent="0.25">
      <c r="B387" s="53" t="s">
        <v>1229</v>
      </c>
      <c r="D387" t="str">
        <f>IFERROR(VLOOKUP(Table2[[#This Row],[TAGS NEW R&amp;D]],B:B,1,FALSE), " ")</f>
        <v xml:space="preserve"> </v>
      </c>
    </row>
    <row r="388" spans="2:4" x14ac:dyDescent="0.25">
      <c r="B388" s="52" t="s">
        <v>1213</v>
      </c>
      <c r="D388" t="str">
        <f>IFERROR(VLOOKUP(Table2[[#This Row],[TAGS NEW R&amp;D]],B:B,1,FALSE), " ")</f>
        <v xml:space="preserve"> </v>
      </c>
    </row>
    <row r="389" spans="2:4" x14ac:dyDescent="0.25">
      <c r="B389" s="53" t="s">
        <v>1220</v>
      </c>
      <c r="D389" t="str">
        <f>IFERROR(VLOOKUP(Table2[[#This Row],[TAGS NEW R&amp;D]],B:B,1,FALSE), " ")</f>
        <v xml:space="preserve"> </v>
      </c>
    </row>
    <row r="390" spans="2:4" x14ac:dyDescent="0.25">
      <c r="B390" s="52" t="s">
        <v>1042</v>
      </c>
      <c r="D390" t="str">
        <f>IFERROR(VLOOKUP(Table2[[#This Row],[TAGS NEW R&amp;D]],B:B,1,FALSE), " ")</f>
        <v xml:space="preserve"> </v>
      </c>
    </row>
    <row r="391" spans="2:4" x14ac:dyDescent="0.25">
      <c r="B391" s="53" t="s">
        <v>1051</v>
      </c>
      <c r="D391" t="str">
        <f>IFERROR(VLOOKUP(Table2[[#This Row],[TAGS NEW R&amp;D]],B:B,1,FALSE), " ")</f>
        <v xml:space="preserve"> </v>
      </c>
    </row>
    <row r="392" spans="2:4" x14ac:dyDescent="0.25">
      <c r="B392" s="52" t="s">
        <v>1185</v>
      </c>
      <c r="D392" t="str">
        <f>IFERROR(VLOOKUP(Table2[[#This Row],[TAGS NEW R&amp;D]],B:B,1,FALSE), " ")</f>
        <v xml:space="preserve"> </v>
      </c>
    </row>
    <row r="393" spans="2:4" x14ac:dyDescent="0.25">
      <c r="B393" s="53" t="s">
        <v>1177</v>
      </c>
      <c r="D393" t="str">
        <f>IFERROR(VLOOKUP(Table2[[#This Row],[TAGS NEW R&amp;D]],B:B,1,FALSE), " ")</f>
        <v xml:space="preserve"> </v>
      </c>
    </row>
    <row r="394" spans="2:4" x14ac:dyDescent="0.25">
      <c r="B394" s="52" t="s">
        <v>42</v>
      </c>
      <c r="D394" t="str">
        <f>IFERROR(VLOOKUP(Table2[[#This Row],[TAGS NEW R&amp;D]],B:B,1,FALSE), " ")</f>
        <v xml:space="preserve"> </v>
      </c>
    </row>
    <row r="395" spans="2:4" x14ac:dyDescent="0.25">
      <c r="B395" s="53" t="s">
        <v>1407</v>
      </c>
      <c r="D395" t="str">
        <f>IFERROR(VLOOKUP(Table2[[#This Row],[TAGS NEW R&amp;D]],B:B,1,FALSE), " ")</f>
        <v xml:space="preserve"> </v>
      </c>
    </row>
    <row r="396" spans="2:4" x14ac:dyDescent="0.25">
      <c r="B396" s="52" t="s">
        <v>725</v>
      </c>
      <c r="D396" t="str">
        <f>IFERROR(VLOOKUP(Table2[[#This Row],[TAGS NEW R&amp;D]],B:B,1,FALSE), " ")</f>
        <v xml:space="preserve"> </v>
      </c>
    </row>
    <row r="397" spans="2:4" x14ac:dyDescent="0.25">
      <c r="B397" s="53" t="s">
        <v>721</v>
      </c>
      <c r="D397" t="str">
        <f>IFERROR(VLOOKUP(Table2[[#This Row],[TAGS NEW R&amp;D]],B:B,1,FALSE), " ")</f>
        <v xml:space="preserve"> </v>
      </c>
    </row>
    <row r="398" spans="2:4" x14ac:dyDescent="0.25">
      <c r="B398" s="52" t="s">
        <v>733</v>
      </c>
      <c r="D398" t="str">
        <f>IFERROR(VLOOKUP(Table2[[#This Row],[TAGS NEW R&amp;D]],B:B,1,FALSE), " ")</f>
        <v xml:space="preserve"> </v>
      </c>
    </row>
    <row r="399" spans="2:4" x14ac:dyDescent="0.25">
      <c r="B399" s="53" t="s">
        <v>745</v>
      </c>
      <c r="D399" t="str">
        <f>IFERROR(VLOOKUP(Table2[[#This Row],[TAGS NEW R&amp;D]],B:B,1,FALSE), " ")</f>
        <v xml:space="preserve"> </v>
      </c>
    </row>
    <row r="400" spans="2:4" x14ac:dyDescent="0.25">
      <c r="B400" s="52" t="s">
        <v>749</v>
      </c>
      <c r="D400" t="str">
        <f>IFERROR(VLOOKUP(Table2[[#This Row],[TAGS NEW R&amp;D]],B:B,1,FALSE), " ")</f>
        <v xml:space="preserve"> </v>
      </c>
    </row>
    <row r="401" spans="2:4" x14ac:dyDescent="0.25">
      <c r="B401" s="53" t="s">
        <v>310</v>
      </c>
      <c r="D401" t="str">
        <f>IFERROR(VLOOKUP(Table2[[#This Row],[TAGS NEW R&amp;D]],B:B,1,FALSE), " ")</f>
        <v xml:space="preserve"> </v>
      </c>
    </row>
    <row r="402" spans="2:4" x14ac:dyDescent="0.25">
      <c r="B402" s="52" t="s">
        <v>322</v>
      </c>
      <c r="D402" t="str">
        <f>IFERROR(VLOOKUP(Table2[[#This Row],[TAGS NEW R&amp;D]],B:B,1,FALSE), " ")</f>
        <v xml:space="preserve"> </v>
      </c>
    </row>
    <row r="403" spans="2:4" x14ac:dyDescent="0.25">
      <c r="B403" s="53" t="s">
        <v>685</v>
      </c>
      <c r="D403" t="str">
        <f>IFERROR(VLOOKUP(Table2[[#This Row],[TAGS NEW R&amp;D]],B:B,1,FALSE), " ")</f>
        <v xml:space="preserve"> </v>
      </c>
    </row>
    <row r="404" spans="2:4" x14ac:dyDescent="0.25">
      <c r="B404" s="52" t="s">
        <v>689</v>
      </c>
      <c r="D404" t="str">
        <f>IFERROR(VLOOKUP(Table2[[#This Row],[TAGS NEW R&amp;D]],B:B,1,FALSE), " ")</f>
        <v xml:space="preserve"> </v>
      </c>
    </row>
    <row r="405" spans="2:4" x14ac:dyDescent="0.25">
      <c r="B405" s="53" t="s">
        <v>689</v>
      </c>
      <c r="D405" t="str">
        <f>IFERROR(VLOOKUP(Table2[[#This Row],[TAGS NEW R&amp;D]],B:B,1,FALSE), " ")</f>
        <v xml:space="preserve"> </v>
      </c>
    </row>
    <row r="406" spans="2:4" x14ac:dyDescent="0.25">
      <c r="B406" s="52" t="s">
        <v>701</v>
      </c>
      <c r="D406" t="str">
        <f>IFERROR(VLOOKUP(Table2[[#This Row],[TAGS NEW R&amp;D]],B:B,1,FALSE), " ")</f>
        <v xml:space="preserve"> </v>
      </c>
    </row>
    <row r="407" spans="2:4" x14ac:dyDescent="0.25">
      <c r="B407" s="53" t="s">
        <v>713</v>
      </c>
      <c r="D407" t="str">
        <f>IFERROR(VLOOKUP(Table2[[#This Row],[TAGS NEW R&amp;D]],B:B,1,FALSE), " ")</f>
        <v xml:space="preserve"> </v>
      </c>
    </row>
    <row r="408" spans="2:4" x14ac:dyDescent="0.25">
      <c r="B408" s="52" t="s">
        <v>709</v>
      </c>
      <c r="D408" t="str">
        <f>IFERROR(VLOOKUP(Table2[[#This Row],[TAGS NEW R&amp;D]],B:B,1,FALSE), " ")</f>
        <v xml:space="preserve"> </v>
      </c>
    </row>
    <row r="409" spans="2:4" x14ac:dyDescent="0.25">
      <c r="B409" s="53" t="s">
        <v>278</v>
      </c>
      <c r="D409" t="str">
        <f>IFERROR(VLOOKUP(Table2[[#This Row],[TAGS NEW R&amp;D]],B:B,1,FALSE), " ")</f>
        <v xml:space="preserve"> </v>
      </c>
    </row>
    <row r="410" spans="2:4" x14ac:dyDescent="0.25">
      <c r="B410" s="52" t="s">
        <v>290</v>
      </c>
      <c r="D410" t="str">
        <f>IFERROR(VLOOKUP(Table2[[#This Row],[TAGS NEW R&amp;D]],B:B,1,FALSE), " ")</f>
        <v xml:space="preserve"> </v>
      </c>
    </row>
    <row r="411" spans="2:4" x14ac:dyDescent="0.25">
      <c r="B411" s="53" t="s">
        <v>302</v>
      </c>
      <c r="D411" t="str">
        <f>IFERROR(VLOOKUP(Table2[[#This Row],[TAGS NEW R&amp;D]],B:B,1,FALSE), " ")</f>
        <v xml:space="preserve"> </v>
      </c>
    </row>
    <row r="412" spans="2:4" x14ac:dyDescent="0.25">
      <c r="B412" s="52" t="s">
        <v>306</v>
      </c>
      <c r="D412" t="str">
        <f>IFERROR(VLOOKUP(Table2[[#This Row],[TAGS NEW R&amp;D]],B:B,1,FALSE), " ")</f>
        <v xml:space="preserve"> </v>
      </c>
    </row>
    <row r="413" spans="2:4" x14ac:dyDescent="0.25">
      <c r="B413" s="53" t="s">
        <v>681</v>
      </c>
      <c r="D413" t="str">
        <f>IFERROR(VLOOKUP(Table2[[#This Row],[TAGS NEW R&amp;D]],B:B,1,FALSE), " ")</f>
        <v xml:space="preserve"> </v>
      </c>
    </row>
    <row r="414" spans="2:4" x14ac:dyDescent="0.25">
      <c r="B414" s="52" t="s">
        <v>693</v>
      </c>
      <c r="D414" t="str">
        <f>IFERROR(VLOOKUP(Table2[[#This Row],[TAGS NEW R&amp;D]],B:B,1,FALSE), " ")</f>
        <v xml:space="preserve"> </v>
      </c>
    </row>
    <row r="415" spans="2:4" x14ac:dyDescent="0.25">
      <c r="B415" s="53" t="s">
        <v>705</v>
      </c>
      <c r="D415" t="str">
        <f>IFERROR(VLOOKUP(Table2[[#This Row],[TAGS NEW R&amp;D]],B:B,1,FALSE), " ")</f>
        <v xml:space="preserve"> </v>
      </c>
    </row>
    <row r="416" spans="2:4" x14ac:dyDescent="0.25">
      <c r="B416" s="52" t="s">
        <v>717</v>
      </c>
      <c r="D416" t="str">
        <f>IFERROR(VLOOKUP(Table2[[#This Row],[TAGS NEW R&amp;D]],B:B,1,FALSE), " ")</f>
        <v xml:space="preserve"> </v>
      </c>
    </row>
    <row r="417" spans="2:4" x14ac:dyDescent="0.25">
      <c r="B417" s="53" t="s">
        <v>729</v>
      </c>
      <c r="D417" t="str">
        <f>IFERROR(VLOOKUP(Table2[[#This Row],[TAGS NEW R&amp;D]],B:B,1,FALSE), " ")</f>
        <v xml:space="preserve"> </v>
      </c>
    </row>
    <row r="418" spans="2:4" x14ac:dyDescent="0.25">
      <c r="B418" s="52" t="s">
        <v>741</v>
      </c>
      <c r="D418" t="str">
        <f>IFERROR(VLOOKUP(Table2[[#This Row],[TAGS NEW R&amp;D]],B:B,1,FALSE), " ")</f>
        <v xml:space="preserve"> </v>
      </c>
    </row>
    <row r="419" spans="2:4" x14ac:dyDescent="0.25">
      <c r="B419" s="53" t="s">
        <v>757</v>
      </c>
      <c r="D419" t="str">
        <f>IFERROR(VLOOKUP(Table2[[#This Row],[TAGS NEW R&amp;D]],B:B,1,FALSE), " ")</f>
        <v xml:space="preserve"> </v>
      </c>
    </row>
    <row r="420" spans="2:4" x14ac:dyDescent="0.25">
      <c r="B420" s="52" t="s">
        <v>282</v>
      </c>
      <c r="D420" t="str">
        <f>IFERROR(VLOOKUP(Table2[[#This Row],[TAGS NEW R&amp;D]],B:B,1,FALSE), " ")</f>
        <v xml:space="preserve"> </v>
      </c>
    </row>
    <row r="421" spans="2:4" x14ac:dyDescent="0.25">
      <c r="B421" s="53" t="s">
        <v>298</v>
      </c>
      <c r="D421" t="str">
        <f>IFERROR(VLOOKUP(Table2[[#This Row],[TAGS NEW R&amp;D]],B:B,1,FALSE), " ")</f>
        <v xml:space="preserve"> </v>
      </c>
    </row>
    <row r="422" spans="2:4" x14ac:dyDescent="0.25">
      <c r="B422" s="52" t="s">
        <v>294</v>
      </c>
      <c r="D422" t="str">
        <f>IFERROR(VLOOKUP(Table2[[#This Row],[TAGS NEW R&amp;D]],B:B,1,FALSE), " ")</f>
        <v xml:space="preserve"> </v>
      </c>
    </row>
    <row r="423" spans="2:4" x14ac:dyDescent="0.25">
      <c r="B423" s="53" t="s">
        <v>314</v>
      </c>
      <c r="D423" t="str">
        <f>IFERROR(VLOOKUP(Table2[[#This Row],[TAGS NEW R&amp;D]],B:B,1,FALSE), " ")</f>
        <v xml:space="preserve"> </v>
      </c>
    </row>
    <row r="424" spans="2:4" x14ac:dyDescent="0.25">
      <c r="B424" s="52" t="s">
        <v>318</v>
      </c>
      <c r="D424" t="str">
        <f>IFERROR(VLOOKUP(Table2[[#This Row],[TAGS NEW R&amp;D]],B:B,1,FALSE), " ")</f>
        <v xml:space="preserve"> </v>
      </c>
    </row>
    <row r="425" spans="2:4" x14ac:dyDescent="0.25">
      <c r="B425" s="53" t="s">
        <v>737</v>
      </c>
      <c r="D425" t="str">
        <f>IFERROR(VLOOKUP(Table2[[#This Row],[TAGS NEW R&amp;D]],B:B,1,FALSE), " ")</f>
        <v xml:space="preserve"> </v>
      </c>
    </row>
    <row r="426" spans="2:4" x14ac:dyDescent="0.25">
      <c r="B426" s="52" t="s">
        <v>1037</v>
      </c>
      <c r="D426" t="str">
        <f>IFERROR(VLOOKUP(Table2[[#This Row],[TAGS NEW R&amp;D]],B:B,1,FALSE), " ")</f>
        <v xml:space="preserve"> </v>
      </c>
    </row>
    <row r="427" spans="2:4" x14ac:dyDescent="0.25">
      <c r="B427" s="53" t="s">
        <v>914</v>
      </c>
      <c r="D427" t="str">
        <f>IFERROR(VLOOKUP(Table2[[#This Row],[TAGS NEW R&amp;D]],B:B,1,FALSE), " ")</f>
        <v xml:space="preserve"> </v>
      </c>
    </row>
    <row r="428" spans="2:4" x14ac:dyDescent="0.25">
      <c r="B428" s="52" t="s">
        <v>918</v>
      </c>
      <c r="D428" t="str">
        <f>IFERROR(VLOOKUP(Table2[[#This Row],[TAGS NEW R&amp;D]],B:B,1,FALSE), " ")</f>
        <v xml:space="preserve"> </v>
      </c>
    </row>
    <row r="429" spans="2:4" x14ac:dyDescent="0.25">
      <c r="B429" s="53" t="s">
        <v>916</v>
      </c>
      <c r="D429" t="str">
        <f>IFERROR(VLOOKUP(Table2[[#This Row],[TAGS NEW R&amp;D]],B:B,1,FALSE), " ")</f>
        <v xml:space="preserve"> </v>
      </c>
    </row>
    <row r="430" spans="2:4" x14ac:dyDescent="0.25">
      <c r="B430" s="52" t="s">
        <v>421</v>
      </c>
      <c r="D430" t="str">
        <f>IFERROR(VLOOKUP(Table2[[#This Row],[TAGS NEW R&amp;D]],B:B,1,FALSE), " ")</f>
        <v xml:space="preserve"> </v>
      </c>
    </row>
    <row r="431" spans="2:4" x14ac:dyDescent="0.25">
      <c r="B431" s="53" t="s">
        <v>413</v>
      </c>
      <c r="D431" t="str">
        <f>IFERROR(VLOOKUP(Table2[[#This Row],[TAGS NEW R&amp;D]],B:B,1,FALSE), " ")</f>
        <v xml:space="preserve"> </v>
      </c>
    </row>
    <row r="432" spans="2:4" x14ac:dyDescent="0.25">
      <c r="B432" s="52" t="s">
        <v>437</v>
      </c>
      <c r="D432" t="str">
        <f>IFERROR(VLOOKUP(Table2[[#This Row],[TAGS NEW R&amp;D]],B:B,1,FALSE), " ")</f>
        <v xml:space="preserve"> </v>
      </c>
    </row>
    <row r="433" spans="2:4" x14ac:dyDescent="0.25">
      <c r="B433" s="53" t="s">
        <v>150</v>
      </c>
      <c r="D433" t="str">
        <f>IFERROR(VLOOKUP(Table2[[#This Row],[TAGS NEW R&amp;D]],B:B,1,FALSE), " ")</f>
        <v xml:space="preserve"> </v>
      </c>
    </row>
    <row r="434" spans="2:4" x14ac:dyDescent="0.25">
      <c r="B434" s="52" t="s">
        <v>150</v>
      </c>
      <c r="D434" t="str">
        <f>IFERROR(VLOOKUP(Table2[[#This Row],[TAGS NEW R&amp;D]],B:B,1,FALSE), " ")</f>
        <v xml:space="preserve"> </v>
      </c>
    </row>
    <row r="435" spans="2:4" x14ac:dyDescent="0.25">
      <c r="B435" s="53" t="s">
        <v>425</v>
      </c>
      <c r="D435" t="str">
        <f>IFERROR(VLOOKUP(Table2[[#This Row],[TAGS NEW R&amp;D]],B:B,1,FALSE), " ")</f>
        <v xml:space="preserve"> </v>
      </c>
    </row>
    <row r="436" spans="2:4" x14ac:dyDescent="0.25">
      <c r="B436" s="52" t="s">
        <v>417</v>
      </c>
      <c r="D436" t="str">
        <f>IFERROR(VLOOKUP(Table2[[#This Row],[TAGS NEW R&amp;D]],B:B,1,FALSE), " ")</f>
        <v xml:space="preserve"> </v>
      </c>
    </row>
    <row r="437" spans="2:4" x14ac:dyDescent="0.25">
      <c r="B437" s="53" t="s">
        <v>605</v>
      </c>
      <c r="D437" t="str">
        <f>IFERROR(VLOOKUP(Table2[[#This Row],[TAGS NEW R&amp;D]],B:B,1,FALSE), " ")</f>
        <v xml:space="preserve"> </v>
      </c>
    </row>
    <row r="438" spans="2:4" x14ac:dyDescent="0.25">
      <c r="B438" s="52" t="s">
        <v>617</v>
      </c>
      <c r="D438" t="str">
        <f>IFERROR(VLOOKUP(Table2[[#This Row],[TAGS NEW R&amp;D]],B:B,1,FALSE), " ")</f>
        <v xml:space="preserve"> </v>
      </c>
    </row>
    <row r="439" spans="2:4" x14ac:dyDescent="0.25">
      <c r="B439" s="53" t="s">
        <v>445</v>
      </c>
      <c r="D439" t="str">
        <f>IFERROR(VLOOKUP(Table2[[#This Row],[TAGS NEW R&amp;D]],B:B,1,FALSE), " ")</f>
        <v xml:space="preserve"> </v>
      </c>
    </row>
    <row r="440" spans="2:4" x14ac:dyDescent="0.25">
      <c r="B440" s="52" t="s">
        <v>447</v>
      </c>
      <c r="D440" t="str">
        <f>IFERROR(VLOOKUP(Table2[[#This Row],[TAGS NEW R&amp;D]],B:B,1,FALSE), " ")</f>
        <v xml:space="preserve"> </v>
      </c>
    </row>
    <row r="441" spans="2:4" x14ac:dyDescent="0.25">
      <c r="B441" s="53" t="s">
        <v>609</v>
      </c>
      <c r="D441" t="str">
        <f>IFERROR(VLOOKUP(Table2[[#This Row],[TAGS NEW R&amp;D]],B:B,1,FALSE), " ")</f>
        <v xml:space="preserve"> </v>
      </c>
    </row>
    <row r="442" spans="2:4" x14ac:dyDescent="0.25">
      <c r="B442" s="52" t="s">
        <v>621</v>
      </c>
      <c r="D442" t="str">
        <f>IFERROR(VLOOKUP(Table2[[#This Row],[TAGS NEW R&amp;D]],B:B,1,FALSE), " ")</f>
        <v xml:space="preserve"> </v>
      </c>
    </row>
    <row r="443" spans="2:4" x14ac:dyDescent="0.25">
      <c r="B443" s="53" t="s">
        <v>465</v>
      </c>
      <c r="D443" t="str">
        <f>IFERROR(VLOOKUP(Table2[[#This Row],[TAGS NEW R&amp;D]],B:B,1,FALSE), " ")</f>
        <v xml:space="preserve"> </v>
      </c>
    </row>
    <row r="444" spans="2:4" x14ac:dyDescent="0.25">
      <c r="B444" s="52" t="s">
        <v>477</v>
      </c>
      <c r="D444" t="str">
        <f>IFERROR(VLOOKUP(Table2[[#This Row],[TAGS NEW R&amp;D]],B:B,1,FALSE), " ")</f>
        <v xml:space="preserve"> </v>
      </c>
    </row>
    <row r="445" spans="2:4" x14ac:dyDescent="0.25">
      <c r="B445" s="53" t="s">
        <v>388</v>
      </c>
      <c r="D445" t="str">
        <f>IFERROR(VLOOKUP(Table2[[#This Row],[TAGS NEW R&amp;D]],B:B,1,FALSE), " ")</f>
        <v xml:space="preserve"> </v>
      </c>
    </row>
    <row r="446" spans="2:4" x14ac:dyDescent="0.25">
      <c r="B446" s="52" t="s">
        <v>405</v>
      </c>
      <c r="D446" t="str">
        <f>IFERROR(VLOOKUP(Table2[[#This Row],[TAGS NEW R&amp;D]],B:B,1,FALSE), " ")</f>
        <v xml:space="preserve"> </v>
      </c>
    </row>
    <row r="447" spans="2:4" x14ac:dyDescent="0.25">
      <c r="B447" s="53" t="s">
        <v>601</v>
      </c>
      <c r="D447" t="str">
        <f>IFERROR(VLOOKUP(Table2[[#This Row],[TAGS NEW R&amp;D]],B:B,1,FALSE), " ")</f>
        <v xml:space="preserve"> </v>
      </c>
    </row>
    <row r="448" spans="2:4" x14ac:dyDescent="0.25">
      <c r="B448" s="52" t="s">
        <v>613</v>
      </c>
      <c r="D448" t="str">
        <f>IFERROR(VLOOKUP(Table2[[#This Row],[TAGS NEW R&amp;D]],B:B,1,FALSE), " ")</f>
        <v xml:space="preserve"> </v>
      </c>
    </row>
    <row r="449" spans="2:4" x14ac:dyDescent="0.25">
      <c r="B449" s="53" t="s">
        <v>264</v>
      </c>
      <c r="D449" t="str">
        <f>IFERROR(VLOOKUP(Table2[[#This Row],[TAGS NEW R&amp;D]],B:B,1,FALSE), " ")</f>
        <v xml:space="preserve"> </v>
      </c>
    </row>
    <row r="450" spans="2:4" x14ac:dyDescent="0.25">
      <c r="B450" s="52" t="s">
        <v>264</v>
      </c>
      <c r="D450" t="str">
        <f>IFERROR(VLOOKUP(Table2[[#This Row],[TAGS NEW R&amp;D]],B:B,1,FALSE), " ")</f>
        <v xml:space="preserve"> </v>
      </c>
    </row>
    <row r="451" spans="2:4" x14ac:dyDescent="0.25">
      <c r="B451" s="53" t="s">
        <v>461</v>
      </c>
      <c r="D451" t="str">
        <f>IFERROR(VLOOKUP(Table2[[#This Row],[TAGS NEW R&amp;D]],B:B,1,FALSE), " ")</f>
        <v xml:space="preserve"> </v>
      </c>
    </row>
    <row r="452" spans="2:4" x14ac:dyDescent="0.25">
      <c r="B452" s="52" t="s">
        <v>469</v>
      </c>
      <c r="D452" t="str">
        <f>IFERROR(VLOOKUP(Table2[[#This Row],[TAGS NEW R&amp;D]],B:B,1,FALSE), " ")</f>
        <v xml:space="preserve"> </v>
      </c>
    </row>
    <row r="453" spans="2:4" x14ac:dyDescent="0.25">
      <c r="B453" s="53" t="s">
        <v>384</v>
      </c>
      <c r="D453" t="str">
        <f>IFERROR(VLOOKUP(Table2[[#This Row],[TAGS NEW R&amp;D]],B:B,1,FALSE), " ")</f>
        <v xml:space="preserve"> </v>
      </c>
    </row>
    <row r="454" spans="2:4" x14ac:dyDescent="0.25">
      <c r="B454" s="52" t="s">
        <v>380</v>
      </c>
      <c r="D454" t="str">
        <f>IFERROR(VLOOKUP(Table2[[#This Row],[TAGS NEW R&amp;D]],B:B,1,FALSE), " ")</f>
        <v xml:space="preserve"> </v>
      </c>
    </row>
    <row r="455" spans="2:4" x14ac:dyDescent="0.25">
      <c r="B455" s="53" t="s">
        <v>457</v>
      </c>
      <c r="D455" t="str">
        <f>IFERROR(VLOOKUP(Table2[[#This Row],[TAGS NEW R&amp;D]],B:B,1,FALSE), " ")</f>
        <v xml:space="preserve"> </v>
      </c>
    </row>
    <row r="456" spans="2:4" x14ac:dyDescent="0.25">
      <c r="B456" s="52" t="s">
        <v>473</v>
      </c>
      <c r="D456" t="str">
        <f>IFERROR(VLOOKUP(Table2[[#This Row],[TAGS NEW R&amp;D]],B:B,1,FALSE), " ")</f>
        <v xml:space="preserve"> </v>
      </c>
    </row>
    <row r="457" spans="2:4" x14ac:dyDescent="0.25">
      <c r="B457" s="53" t="s">
        <v>777</v>
      </c>
      <c r="D457" t="str">
        <f>IFERROR(VLOOKUP(Table2[[#This Row],[TAGS NEW R&amp;D]],B:B,1,FALSE), " ")</f>
        <v xml:space="preserve"> </v>
      </c>
    </row>
    <row r="458" spans="2:4" x14ac:dyDescent="0.25">
      <c r="B458" s="52" t="s">
        <v>789</v>
      </c>
      <c r="D458" t="str">
        <f>IFERROR(VLOOKUP(Table2[[#This Row],[TAGS NEW R&amp;D]],B:B,1,FALSE), " ")</f>
        <v xml:space="preserve"> </v>
      </c>
    </row>
    <row r="459" spans="2:4" x14ac:dyDescent="0.25">
      <c r="B459" s="53" t="s">
        <v>340</v>
      </c>
      <c r="D459" t="str">
        <f>IFERROR(VLOOKUP(Table2[[#This Row],[TAGS NEW R&amp;D]],B:B,1,FALSE), " ")</f>
        <v xml:space="preserve"> </v>
      </c>
    </row>
    <row r="460" spans="2:4" x14ac:dyDescent="0.25">
      <c r="B460" s="52" t="s">
        <v>769</v>
      </c>
      <c r="D460" t="str">
        <f>IFERROR(VLOOKUP(Table2[[#This Row],[TAGS NEW R&amp;D]],B:B,1,FALSE), " ")</f>
        <v xml:space="preserve"> </v>
      </c>
    </row>
    <row r="461" spans="2:4" x14ac:dyDescent="0.25">
      <c r="B461" s="53" t="s">
        <v>350</v>
      </c>
      <c r="D461" t="str">
        <f>IFERROR(VLOOKUP(Table2[[#This Row],[TAGS NEW R&amp;D]],B:B,1,FALSE), " ")</f>
        <v xml:space="preserve"> </v>
      </c>
    </row>
    <row r="462" spans="2:4" x14ac:dyDescent="0.25">
      <c r="B462" s="52" t="s">
        <v>453</v>
      </c>
      <c r="D462" t="str">
        <f>IFERROR(VLOOKUP(Table2[[#This Row],[TAGS NEW R&amp;D]],B:B,1,FALSE), " ")</f>
        <v xml:space="preserve"> </v>
      </c>
    </row>
    <row r="463" spans="2:4" x14ac:dyDescent="0.25">
      <c r="B463" s="53" t="s">
        <v>781</v>
      </c>
      <c r="D463" t="str">
        <f>IFERROR(VLOOKUP(Table2[[#This Row],[TAGS NEW R&amp;D]],B:B,1,FALSE), " ")</f>
        <v xml:space="preserve"> </v>
      </c>
    </row>
    <row r="464" spans="2:4" x14ac:dyDescent="0.25">
      <c r="B464" s="52" t="s">
        <v>793</v>
      </c>
      <c r="D464" t="str">
        <f>IFERROR(VLOOKUP(Table2[[#This Row],[TAGS NEW R&amp;D]],B:B,1,FALSE), " ")</f>
        <v xml:space="preserve"> </v>
      </c>
    </row>
    <row r="465" spans="2:4" x14ac:dyDescent="0.25">
      <c r="B465" s="53" t="s">
        <v>809</v>
      </c>
      <c r="D465" t="str">
        <f>IFERROR(VLOOKUP(Table2[[#This Row],[TAGS NEW R&amp;D]],B:B,1,FALSE), " ")</f>
        <v xml:space="preserve"> </v>
      </c>
    </row>
    <row r="466" spans="2:4" x14ac:dyDescent="0.25">
      <c r="B466" s="52" t="s">
        <v>273</v>
      </c>
      <c r="D466" t="str">
        <f>IFERROR(VLOOKUP(Table2[[#This Row],[TAGS NEW R&amp;D]],B:B,1,FALSE), " ")</f>
        <v xml:space="preserve"> </v>
      </c>
    </row>
    <row r="467" spans="2:4" x14ac:dyDescent="0.25">
      <c r="B467" s="53" t="s">
        <v>286</v>
      </c>
      <c r="D467" t="str">
        <f>IFERROR(VLOOKUP(Table2[[#This Row],[TAGS NEW R&amp;D]],B:B,1,FALSE), " ")</f>
        <v xml:space="preserve"> </v>
      </c>
    </row>
    <row r="468" spans="2:4" x14ac:dyDescent="0.25">
      <c r="B468" s="52" t="s">
        <v>449</v>
      </c>
      <c r="D468" t="str">
        <f>IFERROR(VLOOKUP(Table2[[#This Row],[TAGS NEW R&amp;D]],B:B,1,FALSE), " ")</f>
        <v xml:space="preserve"> </v>
      </c>
    </row>
    <row r="469" spans="2:4" x14ac:dyDescent="0.25">
      <c r="B469" s="53" t="s">
        <v>785</v>
      </c>
      <c r="D469" t="str">
        <f>IFERROR(VLOOKUP(Table2[[#This Row],[TAGS NEW R&amp;D]],B:B,1,FALSE), " ")</f>
        <v xml:space="preserve"> </v>
      </c>
    </row>
    <row r="470" spans="2:4" x14ac:dyDescent="0.25">
      <c r="B470" s="52" t="s">
        <v>801</v>
      </c>
      <c r="D470" t="str">
        <f>IFERROR(VLOOKUP(Table2[[#This Row],[TAGS NEW R&amp;D]],B:B,1,FALSE), " ")</f>
        <v xml:space="preserve"> </v>
      </c>
    </row>
    <row r="471" spans="2:4" x14ac:dyDescent="0.25">
      <c r="B471" s="53" t="s">
        <v>345</v>
      </c>
      <c r="D471" t="str">
        <f>IFERROR(VLOOKUP(Table2[[#This Row],[TAGS NEW R&amp;D]],B:B,1,FALSE), " ")</f>
        <v xml:space="preserve"> </v>
      </c>
    </row>
    <row r="472" spans="2:4" x14ac:dyDescent="0.25">
      <c r="B472" s="52" t="s">
        <v>103</v>
      </c>
      <c r="D472" t="str">
        <f>IFERROR(VLOOKUP(Table2[[#This Row],[TAGS NEW R&amp;D]],B:B,1,FALSE), " ")</f>
        <v xml:space="preserve"> </v>
      </c>
    </row>
    <row r="473" spans="2:4" x14ac:dyDescent="0.25">
      <c r="B473" s="53" t="s">
        <v>107</v>
      </c>
      <c r="D473" t="str">
        <f>IFERROR(VLOOKUP(Table2[[#This Row],[TAGS NEW R&amp;D]],B:B,1,FALSE), " ")</f>
        <v xml:space="preserve"> </v>
      </c>
    </row>
    <row r="474" spans="2:4" x14ac:dyDescent="0.25">
      <c r="B474" s="52" t="s">
        <v>111</v>
      </c>
      <c r="D474" t="str">
        <f>IFERROR(VLOOKUP(Table2[[#This Row],[TAGS NEW R&amp;D]],B:B,1,FALSE), " ")</f>
        <v xml:space="preserve"> </v>
      </c>
    </row>
    <row r="475" spans="2:4" x14ac:dyDescent="0.25">
      <c r="B475" s="53" t="s">
        <v>116</v>
      </c>
      <c r="D475" t="str">
        <f>IFERROR(VLOOKUP(Table2[[#This Row],[TAGS NEW R&amp;D]],B:B,1,FALSE), " ")</f>
        <v xml:space="preserve"> </v>
      </c>
    </row>
    <row r="476" spans="2:4" x14ac:dyDescent="0.25">
      <c r="B476" s="52" t="s">
        <v>118</v>
      </c>
      <c r="D476" t="str">
        <f>IFERROR(VLOOKUP(Table2[[#This Row],[TAGS NEW R&amp;D]],B:B,1,FALSE), " ")</f>
        <v xml:space="preserve"> </v>
      </c>
    </row>
    <row r="477" spans="2:4" x14ac:dyDescent="0.25">
      <c r="B477" s="53" t="s">
        <v>93</v>
      </c>
      <c r="D477" t="str">
        <f>IFERROR(VLOOKUP(Table2[[#This Row],[TAGS NEW R&amp;D]],B:B,1,FALSE), " ")</f>
        <v xml:space="preserve"> </v>
      </c>
    </row>
    <row r="478" spans="2:4" x14ac:dyDescent="0.25">
      <c r="B478" s="52" t="s">
        <v>98</v>
      </c>
      <c r="D478" t="str">
        <f>IFERROR(VLOOKUP(Table2[[#This Row],[TAGS NEW R&amp;D]],B:B,1,FALSE), " ")</f>
        <v xml:space="preserve"> </v>
      </c>
    </row>
    <row r="479" spans="2:4" x14ac:dyDescent="0.25">
      <c r="B479" s="53" t="s">
        <v>120</v>
      </c>
      <c r="D479" t="str">
        <f>IFERROR(VLOOKUP(Table2[[#This Row],[TAGS NEW R&amp;D]],B:B,1,FALSE), " ")</f>
        <v xml:space="preserve"> </v>
      </c>
    </row>
    <row r="480" spans="2:4" x14ac:dyDescent="0.25">
      <c r="B480" s="52" t="s">
        <v>124</v>
      </c>
      <c r="D480" t="str">
        <f>IFERROR(VLOOKUP(Table2[[#This Row],[TAGS NEW R&amp;D]],B:B,1,FALSE), " ")</f>
        <v xml:space="preserve"> </v>
      </c>
    </row>
    <row r="481" spans="2:4" x14ac:dyDescent="0.25">
      <c r="B481" s="53" t="s">
        <v>499</v>
      </c>
      <c r="D481" t="str">
        <f>IFERROR(VLOOKUP(Table2[[#This Row],[TAGS NEW R&amp;D]],B:B,1,FALSE), " ")</f>
        <v xml:space="preserve"> </v>
      </c>
    </row>
    <row r="482" spans="2:4" x14ac:dyDescent="0.25">
      <c r="B482" s="52" t="s">
        <v>503</v>
      </c>
      <c r="D482" t="str">
        <f>IFERROR(VLOOKUP(Table2[[#This Row],[TAGS NEW R&amp;D]],B:B,1,FALSE), " ")</f>
        <v xml:space="preserve"> </v>
      </c>
    </row>
    <row r="483" spans="2:4" x14ac:dyDescent="0.25">
      <c r="B483" s="53" t="s">
        <v>486</v>
      </c>
      <c r="D483" t="str">
        <f>IFERROR(VLOOKUP(Table2[[#This Row],[TAGS NEW R&amp;D]],B:B,1,FALSE), " ")</f>
        <v xml:space="preserve"> </v>
      </c>
    </row>
    <row r="484" spans="2:4" x14ac:dyDescent="0.25">
      <c r="B484" s="52" t="s">
        <v>519</v>
      </c>
      <c r="D484" t="str">
        <f>IFERROR(VLOOKUP(Table2[[#This Row],[TAGS NEW R&amp;D]],B:B,1,FALSE), " ")</f>
        <v xml:space="preserve"> </v>
      </c>
    </row>
    <row r="485" spans="2:4" x14ac:dyDescent="0.25">
      <c r="B485" s="53" t="s">
        <v>523</v>
      </c>
      <c r="D485" t="str">
        <f>IFERROR(VLOOKUP(Table2[[#This Row],[TAGS NEW R&amp;D]],B:B,1,FALSE), " ")</f>
        <v xml:space="preserve"> </v>
      </c>
    </row>
    <row r="486" spans="2:4" x14ac:dyDescent="0.25">
      <c r="B486" s="52" t="s">
        <v>507</v>
      </c>
      <c r="D486" t="str">
        <f>IFERROR(VLOOKUP(Table2[[#This Row],[TAGS NEW R&amp;D]],B:B,1,FALSE), " ")</f>
        <v xml:space="preserve"> </v>
      </c>
    </row>
    <row r="487" spans="2:4" x14ac:dyDescent="0.25">
      <c r="B487" s="53" t="s">
        <v>568</v>
      </c>
      <c r="D487" t="str">
        <f>IFERROR(VLOOKUP(Table2[[#This Row],[TAGS NEW R&amp;D]],B:B,1,FALSE), " ")</f>
        <v xml:space="preserve"> </v>
      </c>
    </row>
    <row r="488" spans="2:4" x14ac:dyDescent="0.25">
      <c r="B488" s="52" t="s">
        <v>593</v>
      </c>
      <c r="D488" t="str">
        <f>IFERROR(VLOOKUP(Table2[[#This Row],[TAGS NEW R&amp;D]],B:B,1,FALSE), " ")</f>
        <v xml:space="preserve"> </v>
      </c>
    </row>
    <row r="489" spans="2:4" x14ac:dyDescent="0.25">
      <c r="B489" s="53" t="s">
        <v>539</v>
      </c>
      <c r="D489" t="str">
        <f>IFERROR(VLOOKUP(Table2[[#This Row],[TAGS NEW R&amp;D]],B:B,1,FALSE), " ")</f>
        <v xml:space="preserve"> </v>
      </c>
    </row>
    <row r="490" spans="2:4" x14ac:dyDescent="0.25">
      <c r="B490" s="52" t="s">
        <v>543</v>
      </c>
      <c r="D490" t="str">
        <f>IFERROR(VLOOKUP(Table2[[#This Row],[TAGS NEW R&amp;D]],B:B,1,FALSE), " ")</f>
        <v xml:space="preserve"> </v>
      </c>
    </row>
    <row r="491" spans="2:4" x14ac:dyDescent="0.25">
      <c r="B491" s="53" t="s">
        <v>527</v>
      </c>
      <c r="D491" t="str">
        <f>IFERROR(VLOOKUP(Table2[[#This Row],[TAGS NEW R&amp;D]],B:B,1,FALSE), " ")</f>
        <v xml:space="preserve"> </v>
      </c>
    </row>
    <row r="492" spans="2:4" x14ac:dyDescent="0.25">
      <c r="B492" s="52" t="s">
        <v>490</v>
      </c>
      <c r="D492" t="str">
        <f>IFERROR(VLOOKUP(Table2[[#This Row],[TAGS NEW R&amp;D]],B:B,1,FALSE), " ")</f>
        <v xml:space="preserve"> </v>
      </c>
    </row>
    <row r="493" spans="2:4" x14ac:dyDescent="0.25">
      <c r="B493" s="53" t="s">
        <v>515</v>
      </c>
      <c r="D493" t="str">
        <f>IFERROR(VLOOKUP(Table2[[#This Row],[TAGS NEW R&amp;D]],B:B,1,FALSE), " ")</f>
        <v xml:space="preserve"> </v>
      </c>
    </row>
    <row r="494" spans="2:4" x14ac:dyDescent="0.25">
      <c r="B494" s="52" t="s">
        <v>511</v>
      </c>
      <c r="D494" t="str">
        <f>IFERROR(VLOOKUP(Table2[[#This Row],[TAGS NEW R&amp;D]],B:B,1,FALSE), " ")</f>
        <v xml:space="preserve"> </v>
      </c>
    </row>
    <row r="495" spans="2:4" x14ac:dyDescent="0.25">
      <c r="B495" s="53" t="s">
        <v>564</v>
      </c>
      <c r="D495" t="str">
        <f>IFERROR(VLOOKUP(Table2[[#This Row],[TAGS NEW R&amp;D]],B:B,1,FALSE), " ")</f>
        <v xml:space="preserve"> </v>
      </c>
    </row>
    <row r="496" spans="2:4" x14ac:dyDescent="0.25">
      <c r="B496" s="52" t="s">
        <v>535</v>
      </c>
      <c r="D496" t="str">
        <f>IFERROR(VLOOKUP(Table2[[#This Row],[TAGS NEW R&amp;D]],B:B,1,FALSE), " ")</f>
        <v xml:space="preserve"> </v>
      </c>
    </row>
    <row r="497" spans="2:4" x14ac:dyDescent="0.25">
      <c r="B497" s="53" t="s">
        <v>585</v>
      </c>
      <c r="D497" t="str">
        <f>IFERROR(VLOOKUP(Table2[[#This Row],[TAGS NEW R&amp;D]],B:B,1,FALSE), " ")</f>
        <v xml:space="preserve"> </v>
      </c>
    </row>
    <row r="498" spans="2:4" x14ac:dyDescent="0.25">
      <c r="B498" s="52" t="s">
        <v>580</v>
      </c>
      <c r="D498" t="str">
        <f>IFERROR(VLOOKUP(Table2[[#This Row],[TAGS NEW R&amp;D]],B:B,1,FALSE), " ")</f>
        <v xml:space="preserve"> </v>
      </c>
    </row>
    <row r="499" spans="2:4" x14ac:dyDescent="0.25">
      <c r="B499" s="53" t="s">
        <v>597</v>
      </c>
      <c r="D499" t="str">
        <f>IFERROR(VLOOKUP(Table2[[#This Row],[TAGS NEW R&amp;D]],B:B,1,FALSE), " ")</f>
        <v xml:space="preserve"> </v>
      </c>
    </row>
    <row r="500" spans="2:4" x14ac:dyDescent="0.25">
      <c r="B500" s="52" t="s">
        <v>555</v>
      </c>
      <c r="D500" t="str">
        <f>IFERROR(VLOOKUP(Table2[[#This Row],[TAGS NEW R&amp;D]],B:B,1,FALSE), " ")</f>
        <v xml:space="preserve"> </v>
      </c>
    </row>
    <row r="501" spans="2:4" x14ac:dyDescent="0.25">
      <c r="B501" s="53" t="s">
        <v>551</v>
      </c>
      <c r="D501" t="str">
        <f>IFERROR(VLOOKUP(Table2[[#This Row],[TAGS NEW R&amp;D]],B:B,1,FALSE), " ")</f>
        <v xml:space="preserve"> </v>
      </c>
    </row>
    <row r="502" spans="2:4" x14ac:dyDescent="0.25">
      <c r="B502" s="52" t="s">
        <v>572</v>
      </c>
      <c r="D502" t="str">
        <f>IFERROR(VLOOKUP(Table2[[#This Row],[TAGS NEW R&amp;D]],B:B,1,FALSE), " ")</f>
        <v xml:space="preserve"> </v>
      </c>
    </row>
    <row r="503" spans="2:4" x14ac:dyDescent="0.25">
      <c r="B503" s="53" t="s">
        <v>547</v>
      </c>
      <c r="D503" t="str">
        <f>IFERROR(VLOOKUP(Table2[[#This Row],[TAGS NEW R&amp;D]],B:B,1,FALSE), " ")</f>
        <v xml:space="preserve"> </v>
      </c>
    </row>
    <row r="504" spans="2:4" x14ac:dyDescent="0.25">
      <c r="B504" s="52" t="s">
        <v>531</v>
      </c>
      <c r="D504" t="str">
        <f>IFERROR(VLOOKUP(Table2[[#This Row],[TAGS NEW R&amp;D]],B:B,1,FALSE), " ")</f>
        <v xml:space="preserve"> </v>
      </c>
    </row>
    <row r="505" spans="2:4" x14ac:dyDescent="0.25">
      <c r="B505" s="53" t="s">
        <v>560</v>
      </c>
      <c r="D505" t="str">
        <f>IFERROR(VLOOKUP(Table2[[#This Row],[TAGS NEW R&amp;D]],B:B,1,FALSE), " ")</f>
        <v xml:space="preserve"> </v>
      </c>
    </row>
    <row r="506" spans="2:4" x14ac:dyDescent="0.25">
      <c r="B506" s="52" t="s">
        <v>576</v>
      </c>
      <c r="D506" t="str">
        <f>IFERROR(VLOOKUP(Table2[[#This Row],[TAGS NEW R&amp;D]],B:B,1,FALSE), " ")</f>
        <v xml:space="preserve"> </v>
      </c>
    </row>
    <row r="507" spans="2:4" x14ac:dyDescent="0.25">
      <c r="B507" s="53" t="s">
        <v>589</v>
      </c>
      <c r="D507" t="str">
        <f>IFERROR(VLOOKUP(Table2[[#This Row],[TAGS NEW R&amp;D]],B:B,1,FALSE), " ")</f>
        <v xml:space="preserve"> </v>
      </c>
    </row>
    <row r="508" spans="2:4" x14ac:dyDescent="0.25">
      <c r="B508" s="52" t="s">
        <v>934</v>
      </c>
      <c r="D508" t="str">
        <f>IFERROR(VLOOKUP(Table2[[#This Row],[TAGS NEW R&amp;D]],B:B,1,FALSE), " ")</f>
        <v xml:space="preserve"> </v>
      </c>
    </row>
    <row r="509" spans="2:4" x14ac:dyDescent="0.25">
      <c r="B509" s="53" t="s">
        <v>905</v>
      </c>
      <c r="D509" t="str">
        <f>IFERROR(VLOOKUP(Table2[[#This Row],[TAGS NEW R&amp;D]],B:B,1,FALSE), " ")</f>
        <v xml:space="preserve"> </v>
      </c>
    </row>
    <row r="510" spans="2:4" x14ac:dyDescent="0.25">
      <c r="B510" s="52" t="s">
        <v>661</v>
      </c>
      <c r="D510" t="str">
        <f>IFERROR(VLOOKUP(Table2[[#This Row],[TAGS NEW R&amp;D]],B:B,1,FALSE), " ")</f>
        <v xml:space="preserve"> </v>
      </c>
    </row>
    <row r="511" spans="2:4" x14ac:dyDescent="0.25">
      <c r="B511" s="53" t="s">
        <v>661</v>
      </c>
      <c r="D511" t="str">
        <f>IFERROR(VLOOKUP(Table2[[#This Row],[TAGS NEW R&amp;D]],B:B,1,FALSE), " ")</f>
        <v xml:space="preserve"> </v>
      </c>
    </row>
    <row r="512" spans="2:4" x14ac:dyDescent="0.25">
      <c r="B512" s="52" t="s">
        <v>921</v>
      </c>
      <c r="D512" t="str">
        <f>IFERROR(VLOOKUP(Table2[[#This Row],[TAGS NEW R&amp;D]],B:B,1,FALSE), " ")</f>
        <v xml:space="preserve"> </v>
      </c>
    </row>
    <row r="513" spans="2:4" x14ac:dyDescent="0.25">
      <c r="B513" s="53" t="s">
        <v>869</v>
      </c>
      <c r="D513" t="str">
        <f>IFERROR(VLOOKUP(Table2[[#This Row],[TAGS NEW R&amp;D]],B:B,1,FALSE), " ")</f>
        <v xml:space="preserve"> </v>
      </c>
    </row>
    <row r="514" spans="2:4" x14ac:dyDescent="0.25">
      <c r="B514" s="52" t="s">
        <v>873</v>
      </c>
      <c r="D514" t="str">
        <f>IFERROR(VLOOKUP(Table2[[#This Row],[TAGS NEW R&amp;D]],B:B,1,FALSE), " ")</f>
        <v xml:space="preserve"> </v>
      </c>
    </row>
    <row r="515" spans="2:4" x14ac:dyDescent="0.25">
      <c r="B515" s="53" t="s">
        <v>841</v>
      </c>
      <c r="D515" t="str">
        <f>IFERROR(VLOOKUP(Table2[[#This Row],[TAGS NEW R&amp;D]],B:B,1,FALSE), " ")</f>
        <v xml:space="preserve"> </v>
      </c>
    </row>
    <row r="516" spans="2:4" x14ac:dyDescent="0.25">
      <c r="B516" s="52" t="s">
        <v>845</v>
      </c>
      <c r="D516" t="str">
        <f>IFERROR(VLOOKUP(Table2[[#This Row],[TAGS NEW R&amp;D]],B:B,1,FALSE), " ")</f>
        <v xml:space="preserve"> </v>
      </c>
    </row>
    <row r="517" spans="2:4" x14ac:dyDescent="0.25">
      <c r="B517" s="53" t="s">
        <v>849</v>
      </c>
      <c r="D517" t="str">
        <f>IFERROR(VLOOKUP(Table2[[#This Row],[TAGS NEW R&amp;D]],B:B,1,FALSE), " ")</f>
        <v xml:space="preserve"> </v>
      </c>
    </row>
    <row r="518" spans="2:4" x14ac:dyDescent="0.25">
      <c r="B518" s="52" t="s">
        <v>853</v>
      </c>
      <c r="D518" t="str">
        <f>IFERROR(VLOOKUP(Table2[[#This Row],[TAGS NEW R&amp;D]],B:B,1,FALSE), " ")</f>
        <v xml:space="preserve"> </v>
      </c>
    </row>
    <row r="519" spans="2:4" x14ac:dyDescent="0.25">
      <c r="B519" s="53" t="s">
        <v>857</v>
      </c>
      <c r="D519" t="str">
        <f>IFERROR(VLOOKUP(Table2[[#This Row],[TAGS NEW R&amp;D]],B:B,1,FALSE), " ")</f>
        <v xml:space="preserve"> </v>
      </c>
    </row>
    <row r="520" spans="2:4" x14ac:dyDescent="0.25">
      <c r="B520" s="52" t="s">
        <v>861</v>
      </c>
      <c r="D520" t="str">
        <f>IFERROR(VLOOKUP(Table2[[#This Row],[TAGS NEW R&amp;D]],B:B,1,FALSE), " ")</f>
        <v xml:space="preserve"> </v>
      </c>
    </row>
    <row r="521" spans="2:4" x14ac:dyDescent="0.25">
      <c r="B521" s="53" t="s">
        <v>865</v>
      </c>
      <c r="D521" t="str">
        <f>IFERROR(VLOOKUP(Table2[[#This Row],[TAGS NEW R&amp;D]],B:B,1,FALSE), " ")</f>
        <v xml:space="preserve"> </v>
      </c>
    </row>
    <row r="522" spans="2:4" x14ac:dyDescent="0.25">
      <c r="B522" s="52" t="s">
        <v>909</v>
      </c>
      <c r="D522" t="str">
        <f>IFERROR(VLOOKUP(Table2[[#This Row],[TAGS NEW R&amp;D]],B:B,1,FALSE), " ")</f>
        <v xml:space="preserve"> </v>
      </c>
    </row>
    <row r="523" spans="2:4" x14ac:dyDescent="0.25">
      <c r="B523" s="53" t="s">
        <v>669</v>
      </c>
      <c r="D523" t="str">
        <f>IFERROR(VLOOKUP(Table2[[#This Row],[TAGS NEW R&amp;D]],B:B,1,FALSE), " ")</f>
        <v xml:space="preserve"> </v>
      </c>
    </row>
    <row r="524" spans="2:4" x14ac:dyDescent="0.25">
      <c r="B524" s="52" t="s">
        <v>669</v>
      </c>
      <c r="D524" t="str">
        <f>IFERROR(VLOOKUP(Table2[[#This Row],[TAGS NEW R&amp;D]],B:B,1,FALSE), " ")</f>
        <v xml:space="preserve"> </v>
      </c>
    </row>
    <row r="525" spans="2:4" x14ac:dyDescent="0.25">
      <c r="B525" s="53" t="s">
        <v>1024</v>
      </c>
      <c r="D525" t="str">
        <f>IFERROR(VLOOKUP(Table2[[#This Row],[TAGS NEW R&amp;D]],B:B,1,FALSE), " ")</f>
        <v xml:space="preserve"> </v>
      </c>
    </row>
    <row r="526" spans="2:4" x14ac:dyDescent="0.25">
      <c r="B526" s="52" t="s">
        <v>885</v>
      </c>
      <c r="D526" t="str">
        <f>IFERROR(VLOOKUP(Table2[[#This Row],[TAGS NEW R&amp;D]],B:B,1,FALSE), " ")</f>
        <v xml:space="preserve"> </v>
      </c>
    </row>
    <row r="527" spans="2:4" x14ac:dyDescent="0.25">
      <c r="B527" s="53" t="s">
        <v>925</v>
      </c>
      <c r="D527" t="str">
        <f>IFERROR(VLOOKUP(Table2[[#This Row],[TAGS NEW R&amp;D]],B:B,1,FALSE), " ")</f>
        <v xml:space="preserve"> </v>
      </c>
    </row>
    <row r="528" spans="2:4" x14ac:dyDescent="0.25">
      <c r="B528" s="52" t="s">
        <v>673</v>
      </c>
      <c r="D528" t="str">
        <f>IFERROR(VLOOKUP(Table2[[#This Row],[TAGS NEW R&amp;D]],B:B,1,FALSE), " ")</f>
        <v xml:space="preserve"> </v>
      </c>
    </row>
    <row r="529" spans="2:4" x14ac:dyDescent="0.25">
      <c r="B529" s="53" t="s">
        <v>929</v>
      </c>
      <c r="D529" t="str">
        <f>IFERROR(VLOOKUP(Table2[[#This Row],[TAGS NEW R&amp;D]],B:B,1,FALSE), " ")</f>
        <v xml:space="preserve"> </v>
      </c>
    </row>
    <row r="530" spans="2:4" x14ac:dyDescent="0.25">
      <c r="B530" s="52" t="s">
        <v>829</v>
      </c>
      <c r="D530" t="str">
        <f>IFERROR(VLOOKUP(Table2[[#This Row],[TAGS NEW R&amp;D]],B:B,1,FALSE), " ")</f>
        <v xml:space="preserve"> </v>
      </c>
    </row>
    <row r="531" spans="2:4" x14ac:dyDescent="0.25">
      <c r="B531" s="53" t="s">
        <v>833</v>
      </c>
      <c r="D531" t="str">
        <f>IFERROR(VLOOKUP(Table2[[#This Row],[TAGS NEW R&amp;D]],B:B,1,FALSE), " ")</f>
        <v xml:space="preserve"> </v>
      </c>
    </row>
    <row r="532" spans="2:4" x14ac:dyDescent="0.25">
      <c r="B532" s="52" t="s">
        <v>677</v>
      </c>
      <c r="D532" t="str">
        <f>IFERROR(VLOOKUP(Table2[[#This Row],[TAGS NEW R&amp;D]],B:B,1,FALSE), " ")</f>
        <v xml:space="preserve"> </v>
      </c>
    </row>
    <row r="533" spans="2:4" x14ac:dyDescent="0.25">
      <c r="B533" s="53" t="s">
        <v>877</v>
      </c>
      <c r="D533" t="str">
        <f>IFERROR(VLOOKUP(Table2[[#This Row],[TAGS NEW R&amp;D]],B:B,1,FALSE), " ")</f>
        <v xml:space="preserve"> </v>
      </c>
    </row>
    <row r="534" spans="2:4" x14ac:dyDescent="0.25">
      <c r="B534" s="52" t="s">
        <v>825</v>
      </c>
      <c r="D534" t="str">
        <f>IFERROR(VLOOKUP(Table2[[#This Row],[TAGS NEW R&amp;D]],B:B,1,FALSE), " ")</f>
        <v xml:space="preserve"> </v>
      </c>
    </row>
    <row r="535" spans="2:4" x14ac:dyDescent="0.25">
      <c r="B535" s="53" t="s">
        <v>837</v>
      </c>
      <c r="D535" t="str">
        <f>IFERROR(VLOOKUP(Table2[[#This Row],[TAGS NEW R&amp;D]],B:B,1,FALSE), " ")</f>
        <v xml:space="preserve"> </v>
      </c>
    </row>
    <row r="536" spans="2:4" x14ac:dyDescent="0.25">
      <c r="B536" s="52" t="s">
        <v>376</v>
      </c>
      <c r="D536" t="str">
        <f>IFERROR(VLOOKUP(Table2[[#This Row],[TAGS NEW R&amp;D]],B:B,1,FALSE), " ")</f>
        <v xml:space="preserve"> </v>
      </c>
    </row>
    <row r="537" spans="2:4" x14ac:dyDescent="0.25">
      <c r="B537" s="53" t="s">
        <v>376</v>
      </c>
      <c r="D537" t="str">
        <f>IFERROR(VLOOKUP(Table2[[#This Row],[TAGS NEW R&amp;D]],B:B,1,FALSE), " ")</f>
        <v xml:space="preserve"> </v>
      </c>
    </row>
    <row r="538" spans="2:4" x14ac:dyDescent="0.25">
      <c r="B538" s="52" t="s">
        <v>881</v>
      </c>
      <c r="D538" t="str">
        <f>IFERROR(VLOOKUP(Table2[[#This Row],[TAGS NEW R&amp;D]],B:B,1,FALSE), " ")</f>
        <v xml:space="preserve"> </v>
      </c>
    </row>
    <row r="539" spans="2:4" x14ac:dyDescent="0.25">
      <c r="B539" s="53" t="s">
        <v>368</v>
      </c>
      <c r="D539" t="str">
        <f>IFERROR(VLOOKUP(Table2[[#This Row],[TAGS NEW R&amp;D]],B:B,1,FALSE), " ")</f>
        <v xml:space="preserve"> </v>
      </c>
    </row>
    <row r="540" spans="2:4" x14ac:dyDescent="0.25">
      <c r="B540" s="52" t="s">
        <v>326</v>
      </c>
      <c r="D540" t="str">
        <f>IFERROR(VLOOKUP(Table2[[#This Row],[TAGS NEW R&amp;D]],B:B,1,FALSE), " ")</f>
        <v xml:space="preserve"> </v>
      </c>
    </row>
    <row r="541" spans="2:4" x14ac:dyDescent="0.25">
      <c r="B541" s="53" t="s">
        <v>260</v>
      </c>
      <c r="D541" t="str">
        <f>IFERROR(VLOOKUP(Table2[[#This Row],[TAGS NEW R&amp;D]],B:B,1,FALSE), " ")</f>
        <v xml:space="preserve"> </v>
      </c>
    </row>
    <row r="542" spans="2:4" x14ac:dyDescent="0.25">
      <c r="B542" s="52" t="s">
        <v>260</v>
      </c>
      <c r="D542" t="str">
        <f>IFERROR(VLOOKUP(Table2[[#This Row],[TAGS NEW R&amp;D]],B:B,1,FALSE), " ")</f>
        <v xml:space="preserve"> </v>
      </c>
    </row>
    <row r="543" spans="2:4" x14ac:dyDescent="0.25">
      <c r="B543" s="53" t="s">
        <v>364</v>
      </c>
      <c r="D543" t="str">
        <f>IFERROR(VLOOKUP(Table2[[#This Row],[TAGS NEW R&amp;D]],B:B,1,FALSE), " ")</f>
        <v xml:space="preserve"> </v>
      </c>
    </row>
    <row r="544" spans="2:4" x14ac:dyDescent="0.25">
      <c r="B544" s="52" t="s">
        <v>372</v>
      </c>
      <c r="D544" t="str">
        <f>IFERROR(VLOOKUP(Table2[[#This Row],[TAGS NEW R&amp;D]],B:B,1,FALSE), " ")</f>
        <v xml:space="preserve"> </v>
      </c>
    </row>
    <row r="545" spans="2:4" x14ac:dyDescent="0.25">
      <c r="B545" s="53" t="s">
        <v>268</v>
      </c>
      <c r="D545" t="str">
        <f>IFERROR(VLOOKUP(Table2[[#This Row],[TAGS NEW R&amp;D]],B:B,1,FALSE), " ")</f>
        <v xml:space="preserve"> </v>
      </c>
    </row>
    <row r="546" spans="2:4" x14ac:dyDescent="0.25">
      <c r="B546" s="52" t="s">
        <v>1224</v>
      </c>
      <c r="D546" t="str">
        <f>IFERROR(VLOOKUP(Table2[[#This Row],[TAGS NEW R&amp;D]],B:B,1,FALSE), " ")</f>
        <v xml:space="preserve"> </v>
      </c>
    </row>
    <row r="547" spans="2:4" x14ac:dyDescent="0.25">
      <c r="B547" s="53" t="s">
        <v>1209</v>
      </c>
      <c r="D547" t="str">
        <f>IFERROR(VLOOKUP(Table2[[#This Row],[TAGS NEW R&amp;D]],B:B,1,FALSE), " ")</f>
        <v xml:space="preserve"> </v>
      </c>
    </row>
    <row r="548" spans="2:4" x14ac:dyDescent="0.25">
      <c r="B548" s="52" t="s">
        <v>256</v>
      </c>
      <c r="D548" t="str">
        <f>IFERROR(VLOOKUP(Table2[[#This Row],[TAGS NEW R&amp;D]],B:B,1,FALSE), " ")</f>
        <v xml:space="preserve"> </v>
      </c>
    </row>
    <row r="549" spans="2:4" x14ac:dyDescent="0.25">
      <c r="B549" s="53" t="s">
        <v>252</v>
      </c>
      <c r="D549" t="str">
        <f>IFERROR(VLOOKUP(Table2[[#This Row],[TAGS NEW R&amp;D]],B:B,1,FALSE), " ")</f>
        <v xml:space="preserve"> </v>
      </c>
    </row>
    <row r="550" spans="2:4" x14ac:dyDescent="0.25">
      <c r="B550" s="52" t="s">
        <v>13</v>
      </c>
      <c r="D550" t="str">
        <f>IFERROR(VLOOKUP(Table2[[#This Row],[TAGS NEW R&amp;D]],B:B,1,FALSE), " ")</f>
        <v xml:space="preserve"> </v>
      </c>
    </row>
    <row r="551" spans="2:4" x14ac:dyDescent="0.25">
      <c r="B551" s="53" t="s">
        <v>893</v>
      </c>
      <c r="D551" t="str">
        <f>IFERROR(VLOOKUP(Table2[[#This Row],[TAGS NEW R&amp;D]],B:B,1,FALSE), " ")</f>
        <v xml:space="preserve"> </v>
      </c>
    </row>
    <row r="552" spans="2:4" x14ac:dyDescent="0.25">
      <c r="B552" s="52" t="s">
        <v>897</v>
      </c>
      <c r="D552" t="str">
        <f>IFERROR(VLOOKUP(Table2[[#This Row],[TAGS NEW R&amp;D]],B:B,1,FALSE), " ")</f>
        <v xml:space="preserve"> </v>
      </c>
    </row>
    <row r="553" spans="2:4" x14ac:dyDescent="0.25">
      <c r="B553" s="53" t="s">
        <v>901</v>
      </c>
      <c r="D553" t="str">
        <f>IFERROR(VLOOKUP(Table2[[#This Row],[TAGS NEW R&amp;D]],B:B,1,FALSE), " ")</f>
        <v xml:space="preserve"> </v>
      </c>
    </row>
    <row r="554" spans="2:4" x14ac:dyDescent="0.25">
      <c r="B554" s="52" t="s">
        <v>996</v>
      </c>
      <c r="D554" t="str">
        <f>IFERROR(VLOOKUP(Table2[[#This Row],[TAGS NEW R&amp;D]],B:B,1,FALSE), " ")</f>
        <v xml:space="preserve"> </v>
      </c>
    </row>
    <row r="555" spans="2:4" x14ac:dyDescent="0.25">
      <c r="B555" s="53" t="s">
        <v>992</v>
      </c>
      <c r="D555" t="str">
        <f>IFERROR(VLOOKUP(Table2[[#This Row],[TAGS NEW R&amp;D]],B:B,1,FALSE), " ")</f>
        <v xml:space="preserve"> </v>
      </c>
    </row>
    <row r="556" spans="2:4" x14ac:dyDescent="0.25">
      <c r="B556" s="52" t="s">
        <v>1000</v>
      </c>
      <c r="D556" t="str">
        <f>IFERROR(VLOOKUP(Table2[[#This Row],[TAGS NEW R&amp;D]],B:B,1,FALSE), " ")</f>
        <v xml:space="preserve"> </v>
      </c>
    </row>
    <row r="557" spans="2:4" x14ac:dyDescent="0.25">
      <c r="B557" s="53" t="s">
        <v>980</v>
      </c>
      <c r="D557" t="str">
        <f>IFERROR(VLOOKUP(Table2[[#This Row],[TAGS NEW R&amp;D]],B:B,1,FALSE), " ")</f>
        <v xml:space="preserve"> </v>
      </c>
    </row>
    <row r="558" spans="2:4" x14ac:dyDescent="0.25">
      <c r="B558" s="52" t="s">
        <v>984</v>
      </c>
      <c r="D558" t="str">
        <f>IFERROR(VLOOKUP(Table2[[#This Row],[TAGS NEW R&amp;D]],B:B,1,FALSE), " ")</f>
        <v xml:space="preserve"> </v>
      </c>
    </row>
    <row r="559" spans="2:4" x14ac:dyDescent="0.25">
      <c r="B559" s="53" t="s">
        <v>938</v>
      </c>
      <c r="D559" t="str">
        <f>IFERROR(VLOOKUP(Table2[[#This Row],[TAGS NEW R&amp;D]],B:B,1,FALSE), " ")</f>
        <v xml:space="preserve"> </v>
      </c>
    </row>
    <row r="560" spans="2:4" x14ac:dyDescent="0.25">
      <c r="B560" s="52" t="s">
        <v>946</v>
      </c>
      <c r="D560" t="str">
        <f>IFERROR(VLOOKUP(Table2[[#This Row],[TAGS NEW R&amp;D]],B:B,1,FALSE), " ")</f>
        <v xml:space="preserve"> </v>
      </c>
    </row>
    <row r="561" spans="2:4" x14ac:dyDescent="0.25">
      <c r="B561" s="53" t="s">
        <v>988</v>
      </c>
      <c r="D561" t="str">
        <f>IFERROR(VLOOKUP(Table2[[#This Row],[TAGS NEW R&amp;D]],B:B,1,FALSE), " ")</f>
        <v xml:space="preserve"> </v>
      </c>
    </row>
    <row r="562" spans="2:4" x14ac:dyDescent="0.25">
      <c r="B562" s="52" t="s">
        <v>1008</v>
      </c>
      <c r="D562" t="str">
        <f>IFERROR(VLOOKUP(Table2[[#This Row],[TAGS NEW R&amp;D]],B:B,1,FALSE), " ")</f>
        <v xml:space="preserve"> </v>
      </c>
    </row>
    <row r="563" spans="2:4" x14ac:dyDescent="0.25">
      <c r="B563" s="53" t="s">
        <v>1012</v>
      </c>
      <c r="D563" t="str">
        <f>IFERROR(VLOOKUP(Table2[[#This Row],[TAGS NEW R&amp;D]],B:B,1,FALSE), " ")</f>
        <v xml:space="preserve"> </v>
      </c>
    </row>
    <row r="564" spans="2:4" x14ac:dyDescent="0.25">
      <c r="B564" s="52" t="s">
        <v>1004</v>
      </c>
      <c r="D564" t="str">
        <f>IFERROR(VLOOKUP(Table2[[#This Row],[TAGS NEW R&amp;D]],B:B,1,FALSE), " ")</f>
        <v xml:space="preserve"> </v>
      </c>
    </row>
    <row r="565" spans="2:4" x14ac:dyDescent="0.25">
      <c r="B565" s="53" t="s">
        <v>1016</v>
      </c>
      <c r="D565" t="str">
        <f>IFERROR(VLOOKUP(Table2[[#This Row],[TAGS NEW R&amp;D]],B:B,1,FALSE), " ")</f>
        <v xml:space="preserve"> </v>
      </c>
    </row>
    <row r="566" spans="2:4" x14ac:dyDescent="0.25">
      <c r="B566" s="52" t="s">
        <v>1020</v>
      </c>
      <c r="D566" t="str">
        <f>IFERROR(VLOOKUP(Table2[[#This Row],[TAGS NEW R&amp;D]],B:B,1,FALSE), " ")</f>
        <v xml:space="preserve"> </v>
      </c>
    </row>
    <row r="567" spans="2:4" x14ac:dyDescent="0.25">
      <c r="B567" s="53" t="s">
        <v>1028</v>
      </c>
      <c r="D567" t="str">
        <f>IFERROR(VLOOKUP(Table2[[#This Row],[TAGS NEW R&amp;D]],B:B,1,FALSE), " ")</f>
        <v xml:space="preserve"> </v>
      </c>
    </row>
    <row r="568" spans="2:4" x14ac:dyDescent="0.25">
      <c r="B568" s="52" t="s">
        <v>942</v>
      </c>
      <c r="D568" t="str">
        <f>IFERROR(VLOOKUP(Table2[[#This Row],[TAGS NEW R&amp;D]],B:B,1,FALSE), " ")</f>
        <v xml:space="preserve"> </v>
      </c>
    </row>
    <row r="569" spans="2:4" x14ac:dyDescent="0.25">
      <c r="B569" s="53" t="s">
        <v>950</v>
      </c>
      <c r="D569" t="str">
        <f>IFERROR(VLOOKUP(Table2[[#This Row],[TAGS NEW R&amp;D]],B:B,1,FALSE), " ")</f>
        <v xml:space="preserve"> </v>
      </c>
    </row>
    <row r="570" spans="2:4" x14ac:dyDescent="0.25">
      <c r="B570" s="52" t="s">
        <v>954</v>
      </c>
      <c r="D570" t="str">
        <f>IFERROR(VLOOKUP(Table2[[#This Row],[TAGS NEW R&amp;D]],B:B,1,FALSE), " ")</f>
        <v xml:space="preserve"> </v>
      </c>
    </row>
    <row r="571" spans="2:4" x14ac:dyDescent="0.25">
      <c r="B571" s="53" t="s">
        <v>59</v>
      </c>
      <c r="D571" t="str">
        <f>IFERROR(VLOOKUP(Table2[[#This Row],[TAGS NEW R&amp;D]],B:B,1,FALSE), " ")</f>
        <v xml:space="preserve"> </v>
      </c>
    </row>
    <row r="572" spans="2:4" x14ac:dyDescent="0.25">
      <c r="B572" s="52" t="s">
        <v>68</v>
      </c>
      <c r="D572" t="str">
        <f>IFERROR(VLOOKUP(Table2[[#This Row],[TAGS NEW R&amp;D]],B:B,1,FALSE), " ")</f>
        <v xml:space="preserve"> </v>
      </c>
    </row>
    <row r="573" spans="2:4" x14ac:dyDescent="0.25">
      <c r="B573" s="53" t="s">
        <v>51</v>
      </c>
      <c r="D573" t="str">
        <f>IFERROR(VLOOKUP(Table2[[#This Row],[TAGS NEW R&amp;D]],B:B,1,FALSE), " ")</f>
        <v xml:space="preserve"> </v>
      </c>
    </row>
    <row r="574" spans="2:4" x14ac:dyDescent="0.25">
      <c r="B574" s="52" t="s">
        <v>1240</v>
      </c>
      <c r="D574" t="str">
        <f>IFERROR(VLOOKUP(Table2[[#This Row],[TAGS NEW R&amp;D]],B:B,1,FALSE), " ")</f>
        <v xml:space="preserve"> </v>
      </c>
    </row>
    <row r="575" spans="2:4" x14ac:dyDescent="0.25">
      <c r="B575" s="53" t="s">
        <v>805</v>
      </c>
      <c r="D575" t="str">
        <f>IFERROR(VLOOKUP(Table2[[#This Row],[TAGS NEW R&amp;D]],B:B,1,FALSE), " ")</f>
        <v xml:space="preserve"> </v>
      </c>
    </row>
    <row r="576" spans="2:4" x14ac:dyDescent="0.25">
      <c r="B576" s="52" t="s">
        <v>336</v>
      </c>
      <c r="D576" t="str">
        <f>IFERROR(VLOOKUP(Table2[[#This Row],[TAGS NEW R&amp;D]],B:B,1,FALSE), " ")</f>
        <v xml:space="preserve"> </v>
      </c>
    </row>
    <row r="577" spans="2:4" x14ac:dyDescent="0.25">
      <c r="B577" s="53" t="s">
        <v>773</v>
      </c>
      <c r="D577" t="str">
        <f>IFERROR(VLOOKUP(Table2[[#This Row],[TAGS NEW R&amp;D]],B:B,1,FALSE), " ")</f>
        <v xml:space="preserve"> </v>
      </c>
    </row>
    <row r="578" spans="2:4" x14ac:dyDescent="0.25">
      <c r="B578" s="52" t="s">
        <v>797</v>
      </c>
      <c r="D578" t="str">
        <f>IFERROR(VLOOKUP(Table2[[#This Row],[TAGS NEW R&amp;D]],B:B,1,FALSE), " ")</f>
        <v xml:space="preserve"> </v>
      </c>
    </row>
    <row r="579" spans="2:4" x14ac:dyDescent="0.25">
      <c r="B579" s="53" t="s">
        <v>813</v>
      </c>
      <c r="D579" t="str">
        <f>IFERROR(VLOOKUP(Table2[[#This Row],[TAGS NEW R&amp;D]],B:B,1,FALSE), " ")</f>
        <v xml:space="preserve"> </v>
      </c>
    </row>
    <row r="580" spans="2:4" x14ac:dyDescent="0.25">
      <c r="B580" s="52" t="s">
        <v>359</v>
      </c>
      <c r="D580" t="str">
        <f>IFERROR(VLOOKUP(Table2[[#This Row],[TAGS NEW R&amp;D]],B:B,1,FALSE), " ")</f>
        <v xml:space="preserve"> </v>
      </c>
    </row>
    <row r="581" spans="2:4" x14ac:dyDescent="0.25">
      <c r="B581" s="53" t="s">
        <v>355</v>
      </c>
      <c r="D581" t="str">
        <f>IFERROR(VLOOKUP(Table2[[#This Row],[TAGS NEW R&amp;D]],B:B,1,FALSE), " ")</f>
        <v xml:space="preserve"> </v>
      </c>
    </row>
    <row r="582" spans="2:4" x14ac:dyDescent="0.25">
      <c r="B582" s="52" t="s">
        <v>889</v>
      </c>
      <c r="D582" t="str">
        <f>IFERROR(VLOOKUP(Table2[[#This Row],[TAGS NEW R&amp;D]],B:B,1,FALSE), " ")</f>
        <v xml:space="preserve"> </v>
      </c>
    </row>
    <row r="583" spans="2:4" x14ac:dyDescent="0.25">
      <c r="B583" s="53" t="s">
        <v>1046</v>
      </c>
      <c r="D583" t="str">
        <f>IFERROR(VLOOKUP(Table2[[#This Row],[TAGS NEW R&amp;D]],B:B,1,FALSE), " ")</f>
        <v xml:space="preserve"> </v>
      </c>
    </row>
    <row r="584" spans="2:4" x14ac:dyDescent="0.25">
      <c r="B584" s="52" t="s">
        <v>970</v>
      </c>
      <c r="D584" t="str">
        <f>IFERROR(VLOOKUP(Table2[[#This Row],[TAGS NEW R&amp;D]],B:B,1,FALSE), " ")</f>
        <v xml:space="preserve"> </v>
      </c>
    </row>
    <row r="585" spans="2:4" x14ac:dyDescent="0.25">
      <c r="B585" s="53" t="s">
        <v>976</v>
      </c>
      <c r="D585" t="str">
        <f>IFERROR(VLOOKUP(Table2[[#This Row],[TAGS NEW R&amp;D]],B:B,1,FALSE), " ")</f>
        <v xml:space="preserve"> </v>
      </c>
    </row>
    <row r="586" spans="2:4" x14ac:dyDescent="0.25">
      <c r="B586" s="52" t="s">
        <v>966</v>
      </c>
      <c r="D586" t="str">
        <f>IFERROR(VLOOKUP(Table2[[#This Row],[TAGS NEW R&amp;D]],B:B,1,FALSE), " ")</f>
        <v xml:space="preserve"> </v>
      </c>
    </row>
    <row r="587" spans="2:4" x14ac:dyDescent="0.25">
      <c r="B587" s="53" t="s">
        <v>753</v>
      </c>
      <c r="D587" t="str">
        <f>IFERROR(VLOOKUP(Table2[[#This Row],[TAGS NEW R&amp;D]],B:B,1,FALSE), " ")</f>
        <v xml:space="preserve"> </v>
      </c>
    </row>
    <row r="588" spans="2:4" x14ac:dyDescent="0.25">
      <c r="B588" s="52" t="s">
        <v>753</v>
      </c>
      <c r="D588" t="str">
        <f>IFERROR(VLOOKUP(Table2[[#This Row],[TAGS NEW R&amp;D]],B:B,1,FALSE), " ")</f>
        <v xml:space="preserve"> </v>
      </c>
    </row>
    <row r="589" spans="2:4" x14ac:dyDescent="0.25">
      <c r="B589" s="54" t="s">
        <v>64</v>
      </c>
      <c r="D589" t="str">
        <f>IFERROR(VLOOKUP(Table2[[#This Row],[TAGS NEW R&amp;D]],B:B,1,FALSE), " ")</f>
        <v xml:space="preserve"> 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550D-B3B3-47F2-BD9F-D4A86994984F}">
  <sheetPr>
    <tabColor rgb="FFFFFF00"/>
  </sheetPr>
  <dimension ref="A1:M66"/>
  <sheetViews>
    <sheetView tabSelected="1" workbookViewId="0">
      <pane ySplit="1" topLeftCell="A37" activePane="bottomLeft" state="frozen"/>
      <selection activeCell="E1" sqref="E1"/>
      <selection pane="bottomLeft" activeCell="E22" sqref="E22"/>
    </sheetView>
  </sheetViews>
  <sheetFormatPr defaultRowHeight="15" x14ac:dyDescent="0.25"/>
  <cols>
    <col min="1" max="1" width="18.28515625" customWidth="1"/>
    <col min="2" max="2" width="13" customWidth="1"/>
    <col min="3" max="3" width="26.5703125" customWidth="1"/>
    <col min="4" max="4" width="17.85546875" style="85" customWidth="1"/>
    <col min="5" max="5" width="18.85546875" customWidth="1"/>
    <col min="6" max="6" width="15.42578125" customWidth="1"/>
    <col min="7" max="7" width="19.7109375" customWidth="1"/>
    <col min="8" max="8" width="24.140625" customWidth="1"/>
    <col min="9" max="9" width="51.28515625" customWidth="1"/>
    <col min="10" max="10" width="13" style="85" customWidth="1"/>
    <col min="13" max="13" width="23.85546875" customWidth="1"/>
  </cols>
  <sheetData>
    <row r="1" spans="1:13" s="55" customFormat="1" ht="48" customHeight="1" thickBot="1" x14ac:dyDescent="0.3">
      <c r="A1" s="74" t="s">
        <v>1792</v>
      </c>
      <c r="B1" s="74" t="s">
        <v>1793</v>
      </c>
      <c r="C1" s="74" t="s">
        <v>1794</v>
      </c>
      <c r="D1" s="74" t="s">
        <v>1817</v>
      </c>
      <c r="E1" s="74" t="s">
        <v>1740</v>
      </c>
      <c r="F1" s="74" t="s">
        <v>1741</v>
      </c>
      <c r="G1" s="74" t="s">
        <v>1796</v>
      </c>
      <c r="H1" s="74" t="s">
        <v>1709</v>
      </c>
      <c r="I1" s="75" t="s">
        <v>1799</v>
      </c>
      <c r="J1" s="74" t="s">
        <v>1800</v>
      </c>
      <c r="K1" s="74" t="s">
        <v>1801</v>
      </c>
      <c r="L1" s="71" t="s">
        <v>1802</v>
      </c>
      <c r="M1" s="70" t="s">
        <v>1818</v>
      </c>
    </row>
    <row r="2" spans="1:13" ht="19.5" thickTop="1" x14ac:dyDescent="0.3">
      <c r="A2" s="72" t="s">
        <v>1803</v>
      </c>
      <c r="B2" s="72" t="s">
        <v>1804</v>
      </c>
      <c r="C2" s="72" t="s">
        <v>1805</v>
      </c>
      <c r="D2" s="86" t="s">
        <v>1742</v>
      </c>
      <c r="E2" s="76" t="s">
        <v>1743</v>
      </c>
      <c r="F2" s="76"/>
      <c r="G2" s="77"/>
      <c r="H2" s="76" t="s">
        <v>17</v>
      </c>
      <c r="I2" s="76" t="s">
        <v>16</v>
      </c>
      <c r="J2" s="88"/>
      <c r="K2" s="77"/>
      <c r="L2" s="77"/>
      <c r="M2" s="90"/>
    </row>
    <row r="3" spans="1:13" ht="18.75" x14ac:dyDescent="0.3">
      <c r="A3" s="72" t="s">
        <v>1803</v>
      </c>
      <c r="B3" s="72" t="s">
        <v>1804</v>
      </c>
      <c r="C3" s="72" t="s">
        <v>1805</v>
      </c>
      <c r="D3" s="86" t="s">
        <v>1742</v>
      </c>
      <c r="E3" s="76" t="s">
        <v>1743</v>
      </c>
      <c r="F3" s="76"/>
      <c r="G3" s="77"/>
      <c r="H3" s="76" t="s">
        <v>21</v>
      </c>
      <c r="I3" s="76" t="s">
        <v>20</v>
      </c>
      <c r="J3" s="88"/>
      <c r="K3" s="77"/>
      <c r="L3" s="77"/>
      <c r="M3" s="90"/>
    </row>
    <row r="4" spans="1:13" ht="18.75" x14ac:dyDescent="0.3">
      <c r="A4" s="72" t="s">
        <v>1803</v>
      </c>
      <c r="B4" s="72" t="s">
        <v>1804</v>
      </c>
      <c r="C4" s="72" t="s">
        <v>1805</v>
      </c>
      <c r="D4" s="86" t="s">
        <v>1742</v>
      </c>
      <c r="E4" s="76" t="s">
        <v>1743</v>
      </c>
      <c r="F4" s="76"/>
      <c r="G4" s="77"/>
      <c r="H4" s="76" t="s">
        <v>25</v>
      </c>
      <c r="I4" s="76" t="s">
        <v>24</v>
      </c>
      <c r="J4" s="88"/>
      <c r="K4" s="77"/>
      <c r="L4" s="77"/>
      <c r="M4" s="90"/>
    </row>
    <row r="5" spans="1:13" ht="18.75" x14ac:dyDescent="0.3">
      <c r="A5" s="72" t="s">
        <v>1803</v>
      </c>
      <c r="B5" s="72" t="s">
        <v>1804</v>
      </c>
      <c r="C5" s="72" t="s">
        <v>1805</v>
      </c>
      <c r="D5" s="86" t="s">
        <v>1742</v>
      </c>
      <c r="E5" s="76" t="s">
        <v>1743</v>
      </c>
      <c r="F5" s="76"/>
      <c r="G5" s="77"/>
      <c r="H5" s="76" t="s">
        <v>29</v>
      </c>
      <c r="I5" s="76" t="s">
        <v>28</v>
      </c>
      <c r="J5" s="88"/>
      <c r="K5" s="77"/>
      <c r="L5" s="77"/>
      <c r="M5" s="90"/>
    </row>
    <row r="6" spans="1:13" ht="18.75" x14ac:dyDescent="0.3">
      <c r="A6" s="72" t="s">
        <v>1803</v>
      </c>
      <c r="B6" s="72" t="s">
        <v>1804</v>
      </c>
      <c r="C6" s="72" t="s">
        <v>1805</v>
      </c>
      <c r="D6" s="86" t="s">
        <v>1745</v>
      </c>
      <c r="E6" s="76" t="s">
        <v>1746</v>
      </c>
      <c r="F6" s="76"/>
      <c r="G6" s="77"/>
      <c r="H6" s="76" t="s">
        <v>47</v>
      </c>
      <c r="I6" s="76" t="s">
        <v>45</v>
      </c>
      <c r="J6" s="88" t="s">
        <v>46</v>
      </c>
      <c r="K6" s="77"/>
      <c r="L6" s="77"/>
      <c r="M6" s="90"/>
    </row>
    <row r="7" spans="1:13" ht="18.75" x14ac:dyDescent="0.3">
      <c r="A7" s="72" t="s">
        <v>1803</v>
      </c>
      <c r="B7" s="72" t="s">
        <v>1804</v>
      </c>
      <c r="C7" s="72" t="s">
        <v>1805</v>
      </c>
      <c r="D7" s="86" t="s">
        <v>1745</v>
      </c>
      <c r="E7" s="76" t="s">
        <v>1746</v>
      </c>
      <c r="F7" s="76"/>
      <c r="G7" s="77"/>
      <c r="H7" s="76" t="s">
        <v>55</v>
      </c>
      <c r="I7" s="76" t="s">
        <v>53</v>
      </c>
      <c r="J7" s="88" t="s">
        <v>54</v>
      </c>
      <c r="K7" s="77"/>
      <c r="L7" s="77"/>
      <c r="M7" s="90"/>
    </row>
    <row r="8" spans="1:13" ht="18.75" x14ac:dyDescent="0.3">
      <c r="A8" s="72" t="s">
        <v>1803</v>
      </c>
      <c r="B8" s="72" t="s">
        <v>1804</v>
      </c>
      <c r="C8" s="72" t="s">
        <v>1805</v>
      </c>
      <c r="D8" s="86" t="s">
        <v>1745</v>
      </c>
      <c r="E8" s="76" t="s">
        <v>1746</v>
      </c>
      <c r="F8" s="76"/>
      <c r="G8" s="77"/>
      <c r="H8" s="76" t="s">
        <v>73</v>
      </c>
      <c r="I8" s="76" t="s">
        <v>71</v>
      </c>
      <c r="J8" s="88" t="s">
        <v>72</v>
      </c>
      <c r="K8" s="77"/>
      <c r="L8" s="77"/>
      <c r="M8" s="90"/>
    </row>
    <row r="9" spans="1:13" ht="18.75" x14ac:dyDescent="0.3">
      <c r="A9" s="72" t="s">
        <v>1803</v>
      </c>
      <c r="B9" s="72" t="s">
        <v>1804</v>
      </c>
      <c r="C9" s="72" t="s">
        <v>1805</v>
      </c>
      <c r="D9" s="86" t="s">
        <v>1745</v>
      </c>
      <c r="E9" s="76" t="s">
        <v>1746</v>
      </c>
      <c r="F9" s="76"/>
      <c r="G9" s="77"/>
      <c r="H9" s="76" t="s">
        <v>77</v>
      </c>
      <c r="I9" s="76" t="s">
        <v>76</v>
      </c>
      <c r="J9" s="88"/>
      <c r="K9" s="77"/>
      <c r="L9" s="77"/>
      <c r="M9" s="90"/>
    </row>
    <row r="10" spans="1:13" ht="18.75" x14ac:dyDescent="0.3">
      <c r="A10" s="72" t="s">
        <v>1803</v>
      </c>
      <c r="B10" s="72" t="s">
        <v>1804</v>
      </c>
      <c r="C10" s="72" t="s">
        <v>1805</v>
      </c>
      <c r="D10" s="86" t="s">
        <v>1745</v>
      </c>
      <c r="E10" s="76" t="s">
        <v>1746</v>
      </c>
      <c r="F10" s="76"/>
      <c r="G10" s="77"/>
      <c r="H10" s="76" t="s">
        <v>80</v>
      </c>
      <c r="I10" s="76" t="s">
        <v>79</v>
      </c>
      <c r="J10" s="88"/>
      <c r="K10" s="77"/>
      <c r="L10" s="77"/>
      <c r="M10" s="90"/>
    </row>
    <row r="11" spans="1:13" ht="18.75" x14ac:dyDescent="0.3">
      <c r="A11" s="72" t="s">
        <v>1803</v>
      </c>
      <c r="B11" s="72" t="s">
        <v>1804</v>
      </c>
      <c r="C11" s="72" t="s">
        <v>1805</v>
      </c>
      <c r="D11" s="86" t="s">
        <v>1745</v>
      </c>
      <c r="E11" s="76" t="s">
        <v>1746</v>
      </c>
      <c r="F11" s="76"/>
      <c r="G11" s="77"/>
      <c r="H11" s="76" t="s">
        <v>84</v>
      </c>
      <c r="I11" s="76" t="s">
        <v>83</v>
      </c>
      <c r="J11" s="88"/>
      <c r="K11" s="77"/>
      <c r="L11" s="77"/>
      <c r="M11" s="90"/>
    </row>
    <row r="12" spans="1:13" ht="18.75" x14ac:dyDescent="0.3">
      <c r="A12" s="72" t="s">
        <v>1803</v>
      </c>
      <c r="B12" s="72" t="s">
        <v>1804</v>
      </c>
      <c r="C12" s="72" t="s">
        <v>1805</v>
      </c>
      <c r="D12" s="86" t="s">
        <v>1745</v>
      </c>
      <c r="E12" s="76" t="s">
        <v>1746</v>
      </c>
      <c r="F12" s="76"/>
      <c r="G12" s="77"/>
      <c r="H12" s="76" t="s">
        <v>88</v>
      </c>
      <c r="I12" s="76" t="s">
        <v>87</v>
      </c>
      <c r="J12" s="88"/>
      <c r="K12" s="77"/>
      <c r="L12" s="77"/>
      <c r="M12" s="90"/>
    </row>
    <row r="13" spans="1:13" ht="18.75" x14ac:dyDescent="0.3">
      <c r="A13" s="73" t="s">
        <v>1803</v>
      </c>
      <c r="B13" s="73" t="s">
        <v>1804</v>
      </c>
      <c r="C13" s="73" t="s">
        <v>1805</v>
      </c>
      <c r="D13" s="92" t="s">
        <v>1745</v>
      </c>
      <c r="E13" s="81" t="s">
        <v>1749</v>
      </c>
      <c r="F13" s="82" t="s">
        <v>1750</v>
      </c>
      <c r="G13" s="83"/>
      <c r="H13" s="84" t="s">
        <v>128</v>
      </c>
      <c r="I13" s="78" t="s">
        <v>127</v>
      </c>
      <c r="J13" s="89" t="s">
        <v>498</v>
      </c>
      <c r="K13" s="83"/>
      <c r="L13" s="83"/>
      <c r="M13" s="84" t="s">
        <v>1747</v>
      </c>
    </row>
    <row r="14" spans="1:13" ht="18.75" x14ac:dyDescent="0.3">
      <c r="A14" s="72" t="s">
        <v>1803</v>
      </c>
      <c r="B14" s="72" t="s">
        <v>1804</v>
      </c>
      <c r="C14" s="72" t="s">
        <v>1805</v>
      </c>
      <c r="D14" s="86" t="s">
        <v>1745</v>
      </c>
      <c r="E14" s="76" t="s">
        <v>1749</v>
      </c>
      <c r="F14" s="80" t="s">
        <v>1750</v>
      </c>
      <c r="G14" s="67"/>
      <c r="H14" s="76" t="s">
        <v>137</v>
      </c>
      <c r="I14" s="76" t="s">
        <v>136</v>
      </c>
      <c r="J14" s="88" t="s">
        <v>498</v>
      </c>
      <c r="K14" s="77"/>
      <c r="L14" s="77"/>
      <c r="M14" s="90"/>
    </row>
    <row r="15" spans="1:13" ht="18.75" x14ac:dyDescent="0.3">
      <c r="A15" s="72" t="s">
        <v>1803</v>
      </c>
      <c r="B15" s="72" t="s">
        <v>1804</v>
      </c>
      <c r="C15" s="72" t="s">
        <v>1805</v>
      </c>
      <c r="D15" s="86" t="s">
        <v>1745</v>
      </c>
      <c r="E15" s="76" t="s">
        <v>1749</v>
      </c>
      <c r="F15" s="80" t="s">
        <v>1750</v>
      </c>
      <c r="G15" s="67"/>
      <c r="H15" s="76" t="s">
        <v>139</v>
      </c>
      <c r="I15" s="76" t="s">
        <v>138</v>
      </c>
      <c r="J15" s="88" t="s">
        <v>498</v>
      </c>
      <c r="K15" s="77"/>
      <c r="L15" s="77"/>
      <c r="M15" s="90"/>
    </row>
    <row r="16" spans="1:13" ht="18.75" x14ac:dyDescent="0.3">
      <c r="A16" s="72" t="s">
        <v>1803</v>
      </c>
      <c r="B16" s="72" t="s">
        <v>1804</v>
      </c>
      <c r="C16" s="72" t="s">
        <v>1805</v>
      </c>
      <c r="D16" s="86" t="s">
        <v>1745</v>
      </c>
      <c r="E16" s="76"/>
      <c r="F16" s="80"/>
      <c r="G16" s="67"/>
      <c r="H16" s="76" t="s">
        <v>154</v>
      </c>
      <c r="I16" s="76" t="s">
        <v>153</v>
      </c>
      <c r="J16" s="88"/>
      <c r="K16" s="77"/>
      <c r="L16" s="77"/>
      <c r="M16" s="90"/>
    </row>
    <row r="17" spans="1:13" ht="18.75" x14ac:dyDescent="0.3">
      <c r="A17" s="72" t="s">
        <v>1803</v>
      </c>
      <c r="B17" s="72" t="s">
        <v>1804</v>
      </c>
      <c r="C17" s="72" t="s">
        <v>1805</v>
      </c>
      <c r="D17" s="86" t="s">
        <v>1745</v>
      </c>
      <c r="E17" s="76" t="s">
        <v>1749</v>
      </c>
      <c r="F17" s="80" t="s">
        <v>1750</v>
      </c>
      <c r="G17" s="67"/>
      <c r="H17" s="76" t="s">
        <v>175</v>
      </c>
      <c r="I17" s="76" t="s">
        <v>174</v>
      </c>
      <c r="J17" s="88"/>
      <c r="K17" s="77"/>
      <c r="L17" s="77"/>
      <c r="M17" s="90"/>
    </row>
    <row r="18" spans="1:13" ht="18.75" x14ac:dyDescent="0.3">
      <c r="A18" s="72" t="s">
        <v>1803</v>
      </c>
      <c r="B18" s="72" t="s">
        <v>1804</v>
      </c>
      <c r="C18" s="72" t="s">
        <v>1805</v>
      </c>
      <c r="D18" s="86" t="s">
        <v>1745</v>
      </c>
      <c r="E18" s="76" t="s">
        <v>1749</v>
      </c>
      <c r="F18" s="80" t="s">
        <v>1750</v>
      </c>
      <c r="G18" s="67"/>
      <c r="H18" s="76" t="s">
        <v>188</v>
      </c>
      <c r="I18" s="76" t="s">
        <v>187</v>
      </c>
      <c r="J18" s="88" t="s">
        <v>1759</v>
      </c>
      <c r="K18" s="77"/>
      <c r="L18" s="77"/>
      <c r="M18" s="90"/>
    </row>
    <row r="19" spans="1:13" ht="18.75" x14ac:dyDescent="0.3">
      <c r="A19" s="72" t="s">
        <v>1803</v>
      </c>
      <c r="B19" s="72" t="s">
        <v>1804</v>
      </c>
      <c r="C19" s="72" t="s">
        <v>1805</v>
      </c>
      <c r="D19" s="86" t="s">
        <v>1745</v>
      </c>
      <c r="E19" s="76" t="s">
        <v>1749</v>
      </c>
      <c r="F19" s="80" t="s">
        <v>1750</v>
      </c>
      <c r="G19" s="67"/>
      <c r="H19" s="76" t="s">
        <v>191</v>
      </c>
      <c r="I19" s="76" t="s">
        <v>190</v>
      </c>
      <c r="J19" s="88" t="s">
        <v>1759</v>
      </c>
      <c r="K19" s="77"/>
      <c r="L19" s="77"/>
      <c r="M19" s="90"/>
    </row>
    <row r="20" spans="1:13" ht="18.75" x14ac:dyDescent="0.3">
      <c r="A20" s="72" t="s">
        <v>1803</v>
      </c>
      <c r="B20" s="72" t="s">
        <v>1804</v>
      </c>
      <c r="C20" s="72" t="s">
        <v>1805</v>
      </c>
      <c r="D20" s="86" t="s">
        <v>1745</v>
      </c>
      <c r="E20" s="76" t="s">
        <v>1749</v>
      </c>
      <c r="F20" s="80" t="s">
        <v>1750</v>
      </c>
      <c r="G20" s="67"/>
      <c r="H20" s="76" t="s">
        <v>194</v>
      </c>
      <c r="I20" s="76" t="s">
        <v>193</v>
      </c>
      <c r="J20" s="88" t="s">
        <v>1759</v>
      </c>
      <c r="K20" s="77"/>
      <c r="L20" s="77"/>
      <c r="M20" s="90"/>
    </row>
    <row r="21" spans="1:13" ht="18.75" x14ac:dyDescent="0.3">
      <c r="A21" s="73" t="s">
        <v>1803</v>
      </c>
      <c r="B21" s="73" t="s">
        <v>1804</v>
      </c>
      <c r="C21" s="73" t="s">
        <v>1805</v>
      </c>
      <c r="D21" s="87" t="s">
        <v>1745</v>
      </c>
      <c r="E21" s="78" t="s">
        <v>1764</v>
      </c>
      <c r="F21" s="79" t="s">
        <v>1765</v>
      </c>
      <c r="G21" s="83"/>
      <c r="H21" s="84" t="s">
        <v>331</v>
      </c>
      <c r="I21" s="78" t="s">
        <v>329</v>
      </c>
      <c r="J21" s="89" t="s">
        <v>330</v>
      </c>
      <c r="K21" s="83"/>
      <c r="L21" s="83"/>
      <c r="M21" s="84" t="s">
        <v>1762</v>
      </c>
    </row>
    <row r="22" spans="1:13" ht="18.75" x14ac:dyDescent="0.3">
      <c r="A22" s="72" t="s">
        <v>1803</v>
      </c>
      <c r="B22" s="72" t="s">
        <v>1804</v>
      </c>
      <c r="C22" s="72" t="s">
        <v>1805</v>
      </c>
      <c r="D22" s="86" t="s">
        <v>1745</v>
      </c>
      <c r="E22" s="76" t="s">
        <v>1755</v>
      </c>
      <c r="F22" s="80"/>
      <c r="G22" s="67"/>
      <c r="H22" s="76" t="s">
        <v>393</v>
      </c>
      <c r="I22" s="76" t="s">
        <v>391</v>
      </c>
      <c r="J22" s="88" t="s">
        <v>392</v>
      </c>
      <c r="K22" s="77"/>
      <c r="L22" s="77"/>
      <c r="M22" s="90"/>
    </row>
    <row r="23" spans="1:13" ht="18.75" x14ac:dyDescent="0.3">
      <c r="A23" s="72" t="s">
        <v>1803</v>
      </c>
      <c r="B23" s="72" t="s">
        <v>1804</v>
      </c>
      <c r="C23" s="72" t="s">
        <v>1805</v>
      </c>
      <c r="D23" s="86" t="s">
        <v>1745</v>
      </c>
      <c r="E23" s="76" t="s">
        <v>1755</v>
      </c>
      <c r="F23" s="80"/>
      <c r="G23" s="67"/>
      <c r="H23" s="76" t="s">
        <v>397</v>
      </c>
      <c r="I23" s="76" t="s">
        <v>396</v>
      </c>
      <c r="J23" s="88" t="s">
        <v>392</v>
      </c>
      <c r="K23" s="77"/>
      <c r="L23" s="77"/>
      <c r="M23" s="90"/>
    </row>
    <row r="24" spans="1:13" ht="18.75" x14ac:dyDescent="0.3">
      <c r="A24" s="72" t="s">
        <v>1803</v>
      </c>
      <c r="B24" s="72" t="s">
        <v>1804</v>
      </c>
      <c r="C24" s="72" t="s">
        <v>1805</v>
      </c>
      <c r="D24" s="86" t="s">
        <v>1745</v>
      </c>
      <c r="E24" s="76" t="s">
        <v>1755</v>
      </c>
      <c r="F24" s="80"/>
      <c r="G24" s="67"/>
      <c r="H24" s="76" t="s">
        <v>401</v>
      </c>
      <c r="I24" s="76" t="s">
        <v>400</v>
      </c>
      <c r="J24" s="88" t="s">
        <v>354</v>
      </c>
      <c r="K24" s="77"/>
      <c r="L24" s="77"/>
      <c r="M24" s="90"/>
    </row>
    <row r="25" spans="1:13" ht="18.75" x14ac:dyDescent="0.3">
      <c r="A25" s="72" t="s">
        <v>1803</v>
      </c>
      <c r="B25" s="72" t="s">
        <v>1804</v>
      </c>
      <c r="C25" s="72" t="s">
        <v>1805</v>
      </c>
      <c r="D25" s="86" t="s">
        <v>1745</v>
      </c>
      <c r="E25" s="76" t="s">
        <v>1746</v>
      </c>
      <c r="F25" s="80"/>
      <c r="G25" s="67"/>
      <c r="H25" s="76" t="s">
        <v>409</v>
      </c>
      <c r="I25" s="76" t="s">
        <v>408</v>
      </c>
      <c r="J25" s="88" t="s">
        <v>1769</v>
      </c>
      <c r="K25" s="77"/>
      <c r="L25" s="77"/>
      <c r="M25" s="90"/>
    </row>
    <row r="26" spans="1:13" ht="18.75" x14ac:dyDescent="0.3">
      <c r="A26" s="72" t="s">
        <v>1803</v>
      </c>
      <c r="B26" s="72" t="s">
        <v>1804</v>
      </c>
      <c r="C26" s="72" t="s">
        <v>1805</v>
      </c>
      <c r="D26" s="86" t="s">
        <v>1745</v>
      </c>
      <c r="E26" s="76" t="s">
        <v>1755</v>
      </c>
      <c r="F26" s="80"/>
      <c r="G26" s="67"/>
      <c r="H26" s="76" t="s">
        <v>429</v>
      </c>
      <c r="I26" s="76" t="s">
        <v>428</v>
      </c>
      <c r="J26" s="88" t="s">
        <v>1771</v>
      </c>
      <c r="K26" s="77"/>
      <c r="L26" s="77"/>
      <c r="M26" s="90"/>
    </row>
    <row r="27" spans="1:13" ht="18.75" x14ac:dyDescent="0.3">
      <c r="A27" s="72" t="s">
        <v>1803</v>
      </c>
      <c r="B27" s="72" t="s">
        <v>1804</v>
      </c>
      <c r="C27" s="72" t="s">
        <v>1805</v>
      </c>
      <c r="D27" s="86" t="s">
        <v>1745</v>
      </c>
      <c r="E27" s="76" t="s">
        <v>1755</v>
      </c>
      <c r="F27" s="80"/>
      <c r="G27" s="67"/>
      <c r="H27" s="76" t="s">
        <v>433</v>
      </c>
      <c r="I27" s="76" t="s">
        <v>432</v>
      </c>
      <c r="J27" s="88" t="s">
        <v>1771</v>
      </c>
      <c r="K27" s="77"/>
      <c r="L27" s="77"/>
      <c r="M27" s="90"/>
    </row>
    <row r="28" spans="1:13" ht="18.75" x14ac:dyDescent="0.3">
      <c r="A28" s="72" t="s">
        <v>1803</v>
      </c>
      <c r="B28" s="72" t="s">
        <v>1804</v>
      </c>
      <c r="C28" s="72" t="s">
        <v>1805</v>
      </c>
      <c r="D28" s="86" t="s">
        <v>1745</v>
      </c>
      <c r="E28" s="76" t="s">
        <v>1746</v>
      </c>
      <c r="F28" s="80"/>
      <c r="G28" s="67"/>
      <c r="H28" s="76" t="s">
        <v>441</v>
      </c>
      <c r="I28" s="76" t="s">
        <v>440</v>
      </c>
      <c r="J28" s="88"/>
      <c r="K28" s="77"/>
      <c r="L28" s="77"/>
      <c r="M28" s="90"/>
    </row>
    <row r="29" spans="1:13" ht="21" customHeight="1" x14ac:dyDescent="0.3">
      <c r="A29" s="73" t="s">
        <v>1803</v>
      </c>
      <c r="B29" s="73" t="s">
        <v>1804</v>
      </c>
      <c r="C29" s="73" t="s">
        <v>1805</v>
      </c>
      <c r="D29" s="87" t="s">
        <v>1745</v>
      </c>
      <c r="E29" s="78" t="s">
        <v>1775</v>
      </c>
      <c r="F29" s="79"/>
      <c r="G29" s="83"/>
      <c r="H29" s="84" t="s">
        <v>481</v>
      </c>
      <c r="I29" s="78" t="s">
        <v>480</v>
      </c>
      <c r="J29" s="89" t="s">
        <v>58</v>
      </c>
      <c r="K29" s="83"/>
      <c r="L29" s="83"/>
      <c r="M29" s="91" t="s">
        <v>1774</v>
      </c>
    </row>
    <row r="30" spans="1:13" ht="18.75" x14ac:dyDescent="0.3">
      <c r="A30" s="72" t="s">
        <v>1803</v>
      </c>
      <c r="B30" s="72" t="s">
        <v>1804</v>
      </c>
      <c r="C30" s="72" t="s">
        <v>1805</v>
      </c>
      <c r="D30" s="86" t="s">
        <v>1745</v>
      </c>
      <c r="E30" s="76" t="s">
        <v>1775</v>
      </c>
      <c r="F30" s="80"/>
      <c r="G30" s="67"/>
      <c r="H30" s="76" t="s">
        <v>494</v>
      </c>
      <c r="I30" s="76" t="s">
        <v>493</v>
      </c>
      <c r="J30" s="88" t="s">
        <v>354</v>
      </c>
      <c r="K30" s="77"/>
      <c r="L30" s="77"/>
      <c r="M30" s="90"/>
    </row>
    <row r="31" spans="1:13" ht="18.75" x14ac:dyDescent="0.3">
      <c r="A31" s="72" t="s">
        <v>1803</v>
      </c>
      <c r="B31" s="72" t="s">
        <v>1804</v>
      </c>
      <c r="C31" s="72" t="s">
        <v>1805</v>
      </c>
      <c r="D31" s="86" t="s">
        <v>1745</v>
      </c>
      <c r="E31" s="76" t="s">
        <v>1775</v>
      </c>
      <c r="F31" s="80"/>
      <c r="G31" s="67"/>
      <c r="H31" s="76" t="s">
        <v>625</v>
      </c>
      <c r="I31" s="76" t="s">
        <v>624</v>
      </c>
      <c r="J31" s="88" t="s">
        <v>277</v>
      </c>
      <c r="K31" s="77"/>
      <c r="L31" s="77"/>
      <c r="M31" s="90"/>
    </row>
    <row r="32" spans="1:13" ht="18.75" x14ac:dyDescent="0.3">
      <c r="A32" s="72" t="s">
        <v>1803</v>
      </c>
      <c r="B32" s="72" t="s">
        <v>1804</v>
      </c>
      <c r="C32" s="72" t="s">
        <v>1805</v>
      </c>
      <c r="D32" s="86" t="s">
        <v>1745</v>
      </c>
      <c r="E32" s="76" t="s">
        <v>1775</v>
      </c>
      <c r="F32" s="80"/>
      <c r="G32" s="67"/>
      <c r="H32" s="76" t="s">
        <v>629</v>
      </c>
      <c r="I32" s="76" t="s">
        <v>628</v>
      </c>
      <c r="J32" s="88" t="s">
        <v>354</v>
      </c>
      <c r="K32" s="77"/>
      <c r="L32" s="77"/>
      <c r="M32" s="90"/>
    </row>
    <row r="33" spans="1:13" ht="18.75" x14ac:dyDescent="0.3">
      <c r="A33" s="72" t="s">
        <v>1803</v>
      </c>
      <c r="B33" s="72" t="s">
        <v>1804</v>
      </c>
      <c r="C33" s="72" t="s">
        <v>1805</v>
      </c>
      <c r="D33" s="86" t="s">
        <v>1745</v>
      </c>
      <c r="E33" s="76" t="s">
        <v>1775</v>
      </c>
      <c r="F33" s="80"/>
      <c r="G33" s="67"/>
      <c r="H33" s="76" t="s">
        <v>633</v>
      </c>
      <c r="I33" s="76" t="s">
        <v>632</v>
      </c>
      <c r="J33" s="88" t="s">
        <v>277</v>
      </c>
      <c r="K33" s="77"/>
      <c r="L33" s="77"/>
      <c r="M33" s="90"/>
    </row>
    <row r="34" spans="1:13" ht="18.75" x14ac:dyDescent="0.3">
      <c r="A34" s="72" t="s">
        <v>1803</v>
      </c>
      <c r="B34" s="72" t="s">
        <v>1804</v>
      </c>
      <c r="C34" s="72" t="s">
        <v>1805</v>
      </c>
      <c r="D34" s="86" t="s">
        <v>1745</v>
      </c>
      <c r="E34" s="76" t="s">
        <v>1775</v>
      </c>
      <c r="F34" s="80"/>
      <c r="G34" s="67"/>
      <c r="H34" s="76" t="s">
        <v>637</v>
      </c>
      <c r="I34" s="76" t="s">
        <v>636</v>
      </c>
      <c r="J34" s="88" t="s">
        <v>354</v>
      </c>
      <c r="K34" s="77"/>
      <c r="L34" s="77"/>
      <c r="M34" s="90"/>
    </row>
    <row r="35" spans="1:13" ht="18.75" x14ac:dyDescent="0.3">
      <c r="A35" s="72" t="s">
        <v>1803</v>
      </c>
      <c r="B35" s="72" t="s">
        <v>1804</v>
      </c>
      <c r="C35" s="72" t="s">
        <v>1805</v>
      </c>
      <c r="D35" s="86" t="s">
        <v>1745</v>
      </c>
      <c r="E35" s="76" t="s">
        <v>1775</v>
      </c>
      <c r="F35" s="80"/>
      <c r="G35" s="67"/>
      <c r="H35" s="76" t="s">
        <v>641</v>
      </c>
      <c r="I35" s="76" t="s">
        <v>640</v>
      </c>
      <c r="J35" s="88" t="s">
        <v>354</v>
      </c>
      <c r="K35" s="77"/>
      <c r="L35" s="77"/>
      <c r="M35" s="90"/>
    </row>
    <row r="36" spans="1:13" ht="18.75" x14ac:dyDescent="0.3">
      <c r="A36" s="72" t="s">
        <v>1803</v>
      </c>
      <c r="B36" s="72" t="s">
        <v>1804</v>
      </c>
      <c r="C36" s="72" t="s">
        <v>1805</v>
      </c>
      <c r="D36" s="86" t="s">
        <v>1745</v>
      </c>
      <c r="E36" s="76" t="s">
        <v>1775</v>
      </c>
      <c r="F36" s="80"/>
      <c r="G36" s="67"/>
      <c r="H36" s="76" t="s">
        <v>645</v>
      </c>
      <c r="I36" s="76" t="s">
        <v>644</v>
      </c>
      <c r="J36" s="88" t="s">
        <v>354</v>
      </c>
      <c r="K36" s="77"/>
      <c r="L36" s="77"/>
      <c r="M36" s="90"/>
    </row>
    <row r="37" spans="1:13" ht="18.75" x14ac:dyDescent="0.3">
      <c r="A37" s="72" t="s">
        <v>1803</v>
      </c>
      <c r="B37" s="72" t="s">
        <v>1804</v>
      </c>
      <c r="C37" s="72" t="s">
        <v>1805</v>
      </c>
      <c r="D37" s="86" t="s">
        <v>1745</v>
      </c>
      <c r="E37" s="76" t="s">
        <v>1775</v>
      </c>
      <c r="F37" s="80"/>
      <c r="G37" s="67"/>
      <c r="H37" s="76" t="s">
        <v>649</v>
      </c>
      <c r="I37" s="76" t="s">
        <v>648</v>
      </c>
      <c r="J37" s="88" t="s">
        <v>354</v>
      </c>
      <c r="K37" s="77"/>
      <c r="L37" s="77"/>
      <c r="M37" s="90"/>
    </row>
    <row r="38" spans="1:13" ht="18.75" x14ac:dyDescent="0.3">
      <c r="A38" s="72" t="s">
        <v>1803</v>
      </c>
      <c r="B38" s="72" t="s">
        <v>1804</v>
      </c>
      <c r="C38" s="72" t="s">
        <v>1805</v>
      </c>
      <c r="D38" s="86" t="s">
        <v>1745</v>
      </c>
      <c r="E38" s="76" t="s">
        <v>1775</v>
      </c>
      <c r="F38" s="80"/>
      <c r="G38" s="67"/>
      <c r="H38" s="76" t="s">
        <v>653</v>
      </c>
      <c r="I38" s="76" t="s">
        <v>652</v>
      </c>
      <c r="J38" s="88" t="s">
        <v>277</v>
      </c>
      <c r="K38" s="77"/>
      <c r="L38" s="77"/>
      <c r="M38" s="90"/>
    </row>
    <row r="39" spans="1:13" ht="18.75" x14ac:dyDescent="0.3">
      <c r="A39" s="73" t="s">
        <v>1803</v>
      </c>
      <c r="B39" s="73" t="s">
        <v>1804</v>
      </c>
      <c r="C39" s="73" t="s">
        <v>1805</v>
      </c>
      <c r="D39" s="92" t="s">
        <v>1745</v>
      </c>
      <c r="E39" s="81" t="s">
        <v>1764</v>
      </c>
      <c r="F39" s="81" t="s">
        <v>1777</v>
      </c>
      <c r="G39" s="83" t="s">
        <v>1807</v>
      </c>
      <c r="H39" s="81" t="s">
        <v>697</v>
      </c>
      <c r="I39" s="81" t="s">
        <v>696</v>
      </c>
      <c r="J39" s="92" t="s">
        <v>277</v>
      </c>
      <c r="K39" s="83"/>
      <c r="L39" s="83"/>
      <c r="M39" s="81" t="s">
        <v>1776</v>
      </c>
    </row>
    <row r="40" spans="1:13" ht="18.75" x14ac:dyDescent="0.3">
      <c r="A40" s="72" t="s">
        <v>1803</v>
      </c>
      <c r="B40" s="72" t="s">
        <v>1804</v>
      </c>
      <c r="C40" s="72" t="s">
        <v>1805</v>
      </c>
      <c r="D40" s="86" t="s">
        <v>1745</v>
      </c>
      <c r="E40" s="76" t="s">
        <v>1764</v>
      </c>
      <c r="F40" s="80" t="s">
        <v>1777</v>
      </c>
      <c r="G40" s="67"/>
      <c r="H40" s="76" t="s">
        <v>817</v>
      </c>
      <c r="I40" s="76" t="s">
        <v>816</v>
      </c>
      <c r="J40" s="88"/>
      <c r="K40" s="77"/>
      <c r="L40" s="77"/>
      <c r="M40" s="90"/>
    </row>
    <row r="41" spans="1:13" ht="18.75" x14ac:dyDescent="0.3">
      <c r="A41" s="72" t="s">
        <v>1803</v>
      </c>
      <c r="B41" s="72" t="s">
        <v>1804</v>
      </c>
      <c r="C41" s="72" t="s">
        <v>1805</v>
      </c>
      <c r="D41" s="86" t="s">
        <v>1745</v>
      </c>
      <c r="E41" s="76" t="s">
        <v>1764</v>
      </c>
      <c r="F41" s="80" t="s">
        <v>1777</v>
      </c>
      <c r="G41" s="67"/>
      <c r="H41" s="76" t="s">
        <v>821</v>
      </c>
      <c r="I41" s="76" t="s">
        <v>820</v>
      </c>
      <c r="J41" s="88"/>
      <c r="K41" s="77"/>
      <c r="L41" s="77"/>
      <c r="M41" s="90"/>
    </row>
    <row r="42" spans="1:13" ht="18.75" x14ac:dyDescent="0.3">
      <c r="A42" s="72" t="s">
        <v>1803</v>
      </c>
      <c r="B42" s="72" t="s">
        <v>1804</v>
      </c>
      <c r="C42" s="72" t="s">
        <v>1805</v>
      </c>
      <c r="D42" s="86" t="s">
        <v>1745</v>
      </c>
      <c r="E42" s="76" t="s">
        <v>1779</v>
      </c>
      <c r="F42" s="80"/>
      <c r="G42" s="67"/>
      <c r="H42" s="76" t="s">
        <v>958</v>
      </c>
      <c r="I42" s="76" t="s">
        <v>957</v>
      </c>
      <c r="J42" s="88" t="s">
        <v>933</v>
      </c>
      <c r="K42" s="77"/>
      <c r="L42" s="77"/>
      <c r="M42" s="90"/>
    </row>
    <row r="43" spans="1:13" ht="18.75" x14ac:dyDescent="0.3">
      <c r="A43" s="72" t="s">
        <v>1803</v>
      </c>
      <c r="B43" s="72" t="s">
        <v>1804</v>
      </c>
      <c r="C43" s="72" t="s">
        <v>1805</v>
      </c>
      <c r="D43" s="86" t="s">
        <v>1745</v>
      </c>
      <c r="E43" s="76" t="s">
        <v>1779</v>
      </c>
      <c r="F43" s="80"/>
      <c r="G43" s="67"/>
      <c r="H43" s="76" t="s">
        <v>962</v>
      </c>
      <c r="I43" s="76" t="s">
        <v>961</v>
      </c>
      <c r="J43" s="88" t="s">
        <v>933</v>
      </c>
      <c r="K43" s="77"/>
      <c r="L43" s="77"/>
      <c r="M43" s="90"/>
    </row>
    <row r="44" spans="1:13" ht="18.75" x14ac:dyDescent="0.3">
      <c r="A44" s="72" t="s">
        <v>1803</v>
      </c>
      <c r="B44" s="72" t="s">
        <v>1804</v>
      </c>
      <c r="C44" s="72" t="s">
        <v>1805</v>
      </c>
      <c r="D44" s="86" t="s">
        <v>1745</v>
      </c>
      <c r="E44" s="76" t="s">
        <v>1779</v>
      </c>
      <c r="F44" s="80"/>
      <c r="G44" s="67"/>
      <c r="H44" s="76" t="s">
        <v>974</v>
      </c>
      <c r="I44" s="76" t="s">
        <v>973</v>
      </c>
      <c r="J44" s="88" t="s">
        <v>933</v>
      </c>
      <c r="K44" s="77"/>
      <c r="L44" s="77"/>
      <c r="M44" s="90"/>
    </row>
    <row r="45" spans="1:13" ht="18.75" x14ac:dyDescent="0.3">
      <c r="A45" s="72" t="s">
        <v>1803</v>
      </c>
      <c r="B45" s="72" t="s">
        <v>1804</v>
      </c>
      <c r="C45" s="72" t="s">
        <v>1805</v>
      </c>
      <c r="D45" s="86" t="s">
        <v>1745</v>
      </c>
      <c r="E45" s="76" t="s">
        <v>1749</v>
      </c>
      <c r="F45" s="80" t="s">
        <v>1781</v>
      </c>
      <c r="G45" s="67"/>
      <c r="H45" s="76" t="s">
        <v>1237</v>
      </c>
      <c r="I45" s="76" t="s">
        <v>1236</v>
      </c>
      <c r="J45" s="88" t="s">
        <v>1228</v>
      </c>
      <c r="K45" s="77"/>
      <c r="L45" s="77"/>
      <c r="M45" s="90"/>
    </row>
    <row r="46" spans="1:13" ht="18.75" x14ac:dyDescent="0.3">
      <c r="A46" s="72" t="s">
        <v>1803</v>
      </c>
      <c r="B46" s="72" t="s">
        <v>1804</v>
      </c>
      <c r="C46" s="72" t="s">
        <v>1805</v>
      </c>
      <c r="D46" s="86" t="s">
        <v>1745</v>
      </c>
      <c r="E46" s="76" t="s">
        <v>1749</v>
      </c>
      <c r="F46" s="80"/>
      <c r="G46" s="67"/>
      <c r="H46" s="76" t="s">
        <v>1256</v>
      </c>
      <c r="I46" s="76" t="s">
        <v>1255</v>
      </c>
      <c r="J46" s="88" t="s">
        <v>354</v>
      </c>
      <c r="K46" s="77"/>
      <c r="L46" s="77"/>
      <c r="M46" s="90"/>
    </row>
    <row r="47" spans="1:13" ht="18.75" x14ac:dyDescent="0.3">
      <c r="A47" s="73" t="s">
        <v>1803</v>
      </c>
      <c r="B47" s="73" t="s">
        <v>1804</v>
      </c>
      <c r="C47" s="73" t="s">
        <v>1805</v>
      </c>
      <c r="D47" s="87" t="s">
        <v>1783</v>
      </c>
      <c r="E47" s="78" t="s">
        <v>1806</v>
      </c>
      <c r="F47" s="79"/>
      <c r="G47" s="83"/>
      <c r="H47" s="84" t="s">
        <v>1264</v>
      </c>
      <c r="I47" s="79" t="s">
        <v>1263</v>
      </c>
      <c r="J47" s="92" t="s">
        <v>354</v>
      </c>
      <c r="K47" s="83"/>
      <c r="L47" s="83"/>
      <c r="M47" s="84" t="s">
        <v>1782</v>
      </c>
    </row>
    <row r="48" spans="1:13" ht="18.75" x14ac:dyDescent="0.3">
      <c r="A48" s="72" t="s">
        <v>1803</v>
      </c>
      <c r="B48" s="72" t="s">
        <v>1804</v>
      </c>
      <c r="C48" s="72" t="s">
        <v>1805</v>
      </c>
      <c r="D48" s="86" t="s">
        <v>1783</v>
      </c>
      <c r="E48" s="76" t="s">
        <v>1784</v>
      </c>
      <c r="F48" s="80"/>
      <c r="G48" s="67"/>
      <c r="H48" s="76" t="s">
        <v>1299</v>
      </c>
      <c r="I48" s="76" t="s">
        <v>1298</v>
      </c>
      <c r="J48" s="88" t="s">
        <v>354</v>
      </c>
      <c r="K48" s="77"/>
      <c r="L48" s="77"/>
      <c r="M48" s="90"/>
    </row>
    <row r="49" spans="1:13" ht="18.75" x14ac:dyDescent="0.3">
      <c r="A49" s="72" t="s">
        <v>1803</v>
      </c>
      <c r="B49" s="72" t="s">
        <v>1804</v>
      </c>
      <c r="C49" s="72" t="s">
        <v>1805</v>
      </c>
      <c r="D49" s="86" t="s">
        <v>1783</v>
      </c>
      <c r="E49" s="76" t="s">
        <v>1784</v>
      </c>
      <c r="F49" s="80"/>
      <c r="G49" s="67"/>
      <c r="H49" s="76" t="s">
        <v>1303</v>
      </c>
      <c r="I49" s="76" t="s">
        <v>1302</v>
      </c>
      <c r="J49" s="88" t="s">
        <v>354</v>
      </c>
      <c r="K49" s="77"/>
      <c r="L49" s="77"/>
      <c r="M49" s="90"/>
    </row>
    <row r="50" spans="1:13" ht="18.75" x14ac:dyDescent="0.3">
      <c r="A50" s="72" t="s">
        <v>1803</v>
      </c>
      <c r="B50" s="72" t="s">
        <v>1804</v>
      </c>
      <c r="C50" s="72" t="s">
        <v>1805</v>
      </c>
      <c r="D50" s="86" t="s">
        <v>1783</v>
      </c>
      <c r="E50" s="76" t="s">
        <v>1785</v>
      </c>
      <c r="F50" s="80"/>
      <c r="G50" s="67"/>
      <c r="H50" s="76" t="s">
        <v>1347</v>
      </c>
      <c r="I50" s="76" t="s">
        <v>1346</v>
      </c>
      <c r="J50" s="88" t="s">
        <v>33</v>
      </c>
      <c r="K50" s="77"/>
      <c r="L50" s="77"/>
      <c r="M50" s="90"/>
    </row>
    <row r="51" spans="1:13" ht="18.75" x14ac:dyDescent="0.3">
      <c r="A51" s="72" t="s">
        <v>1803</v>
      </c>
      <c r="B51" s="72" t="s">
        <v>1804</v>
      </c>
      <c r="C51" s="72" t="s">
        <v>1805</v>
      </c>
      <c r="D51" s="86" t="s">
        <v>1783</v>
      </c>
      <c r="E51" s="76" t="s">
        <v>1785</v>
      </c>
      <c r="F51" s="80"/>
      <c r="G51" s="67"/>
      <c r="H51" s="76" t="s">
        <v>1379</v>
      </c>
      <c r="I51" s="76" t="s">
        <v>1378</v>
      </c>
      <c r="J51" s="88" t="s">
        <v>392</v>
      </c>
      <c r="K51" s="77"/>
      <c r="L51" s="77"/>
      <c r="M51" s="90"/>
    </row>
    <row r="52" spans="1:13" ht="18.75" x14ac:dyDescent="0.3">
      <c r="A52" s="72" t="s">
        <v>1803</v>
      </c>
      <c r="B52" s="72" t="s">
        <v>1804</v>
      </c>
      <c r="C52" s="72" t="s">
        <v>1805</v>
      </c>
      <c r="D52" s="86" t="s">
        <v>1783</v>
      </c>
      <c r="E52" s="76" t="s">
        <v>1785</v>
      </c>
      <c r="F52" s="80"/>
      <c r="G52" s="67"/>
      <c r="H52" s="76" t="s">
        <v>1383</v>
      </c>
      <c r="I52" s="76" t="s">
        <v>1382</v>
      </c>
      <c r="J52" s="88" t="s">
        <v>392</v>
      </c>
      <c r="K52" s="77"/>
      <c r="L52" s="77"/>
      <c r="M52" s="90"/>
    </row>
    <row r="53" spans="1:13" ht="18.75" x14ac:dyDescent="0.3">
      <c r="A53" s="72" t="s">
        <v>1803</v>
      </c>
      <c r="B53" s="72" t="s">
        <v>1804</v>
      </c>
      <c r="C53" s="72" t="s">
        <v>1805</v>
      </c>
      <c r="D53" s="86"/>
      <c r="E53" s="76"/>
      <c r="F53" s="80"/>
      <c r="G53" s="67"/>
      <c r="H53" s="76" t="s">
        <v>1391</v>
      </c>
      <c r="I53" s="76" t="s">
        <v>1390</v>
      </c>
      <c r="J53" s="88" t="s">
        <v>330</v>
      </c>
      <c r="K53" s="77"/>
      <c r="L53" s="77"/>
      <c r="M53" s="90"/>
    </row>
    <row r="54" spans="1:13" ht="30" x14ac:dyDescent="0.3">
      <c r="A54" s="73" t="s">
        <v>1803</v>
      </c>
      <c r="B54" s="73" t="s">
        <v>1804</v>
      </c>
      <c r="C54" s="73" t="s">
        <v>1805</v>
      </c>
      <c r="D54" s="92" t="s">
        <v>1745</v>
      </c>
      <c r="E54" s="81"/>
      <c r="F54" s="81"/>
      <c r="G54" s="83"/>
      <c r="H54" s="81" t="s">
        <v>1395</v>
      </c>
      <c r="I54" s="81" t="s">
        <v>1394</v>
      </c>
      <c r="J54" s="92" t="s">
        <v>58</v>
      </c>
      <c r="K54" s="83"/>
      <c r="L54" s="83"/>
      <c r="M54" s="56" t="s">
        <v>1786</v>
      </c>
    </row>
    <row r="55" spans="1:13" ht="30" x14ac:dyDescent="0.3">
      <c r="A55" s="73" t="s">
        <v>1803</v>
      </c>
      <c r="B55" s="73" t="s">
        <v>1804</v>
      </c>
      <c r="C55" s="73" t="s">
        <v>1805</v>
      </c>
      <c r="D55" s="92" t="s">
        <v>1745</v>
      </c>
      <c r="E55" s="81"/>
      <c r="F55" s="81"/>
      <c r="G55" s="83"/>
      <c r="H55" s="81" t="s">
        <v>1399</v>
      </c>
      <c r="I55" s="81" t="s">
        <v>1398</v>
      </c>
      <c r="J55" s="92" t="s">
        <v>58</v>
      </c>
      <c r="K55" s="83"/>
      <c r="L55" s="83"/>
      <c r="M55" s="56" t="s">
        <v>1786</v>
      </c>
    </row>
    <row r="56" spans="1:13" ht="18.75" x14ac:dyDescent="0.3">
      <c r="A56" s="73" t="s">
        <v>1803</v>
      </c>
      <c r="B56" s="73" t="s">
        <v>1804</v>
      </c>
      <c r="C56" s="73" t="s">
        <v>1805</v>
      </c>
      <c r="D56" s="92" t="s">
        <v>1745</v>
      </c>
      <c r="E56" s="81"/>
      <c r="F56" s="73" t="s">
        <v>1779</v>
      </c>
      <c r="G56" s="83"/>
      <c r="H56" s="81" t="s">
        <v>1403</v>
      </c>
      <c r="I56" s="81" t="s">
        <v>1402</v>
      </c>
      <c r="J56" s="92" t="s">
        <v>58</v>
      </c>
      <c r="K56" s="83"/>
      <c r="L56" s="83"/>
      <c r="M56" s="56" t="s">
        <v>1786</v>
      </c>
    </row>
    <row r="57" spans="1:13" ht="18.75" x14ac:dyDescent="0.3">
      <c r="A57" s="72" t="s">
        <v>1803</v>
      </c>
      <c r="B57" s="72" t="s">
        <v>1804</v>
      </c>
      <c r="C57" s="72" t="s">
        <v>1805</v>
      </c>
      <c r="D57" s="86" t="s">
        <v>1745</v>
      </c>
      <c r="E57" s="76" t="s">
        <v>1764</v>
      </c>
      <c r="F57" s="80"/>
      <c r="G57" s="67"/>
      <c r="H57" s="76" t="s">
        <v>1411</v>
      </c>
      <c r="I57" s="76" t="s">
        <v>1410</v>
      </c>
      <c r="J57" s="86" t="s">
        <v>277</v>
      </c>
      <c r="K57" s="77"/>
      <c r="L57" s="77"/>
      <c r="M57" s="76"/>
    </row>
    <row r="58" spans="1:13" ht="18.75" x14ac:dyDescent="0.3">
      <c r="A58" s="72" t="s">
        <v>1803</v>
      </c>
      <c r="B58" s="72" t="s">
        <v>1804</v>
      </c>
      <c r="C58" s="72" t="s">
        <v>1805</v>
      </c>
      <c r="D58" s="86" t="s">
        <v>1745</v>
      </c>
      <c r="E58" s="76" t="s">
        <v>1764</v>
      </c>
      <c r="F58" s="80"/>
      <c r="G58" s="67"/>
      <c r="H58" s="76" t="s">
        <v>1415</v>
      </c>
      <c r="I58" s="76" t="s">
        <v>1414</v>
      </c>
      <c r="J58" s="86" t="s">
        <v>559</v>
      </c>
      <c r="K58" s="77"/>
      <c r="L58" s="77"/>
      <c r="M58" s="76"/>
    </row>
    <row r="59" spans="1:13" ht="18.75" x14ac:dyDescent="0.3">
      <c r="A59" s="72" t="s">
        <v>1803</v>
      </c>
      <c r="B59" s="72" t="s">
        <v>1804</v>
      </c>
      <c r="C59" s="72" t="s">
        <v>1805</v>
      </c>
      <c r="D59" s="86" t="s">
        <v>1745</v>
      </c>
      <c r="E59" s="76" t="s">
        <v>1764</v>
      </c>
      <c r="F59" s="80"/>
      <c r="G59" s="67"/>
      <c r="H59" s="76" t="s">
        <v>1419</v>
      </c>
      <c r="I59" s="76" t="s">
        <v>1418</v>
      </c>
      <c r="J59" s="86" t="s">
        <v>277</v>
      </c>
      <c r="K59" s="77"/>
      <c r="L59" s="77"/>
      <c r="M59" s="76"/>
    </row>
    <row r="60" spans="1:13" ht="18.75" x14ac:dyDescent="0.3">
      <c r="A60" s="72" t="s">
        <v>1803</v>
      </c>
      <c r="B60" s="72" t="s">
        <v>1804</v>
      </c>
      <c r="C60" s="72" t="s">
        <v>1805</v>
      </c>
      <c r="D60" s="86" t="s">
        <v>1745</v>
      </c>
      <c r="E60" s="76" t="s">
        <v>1764</v>
      </c>
      <c r="F60" s="80"/>
      <c r="G60" s="67"/>
      <c r="H60" s="76" t="s">
        <v>1423</v>
      </c>
      <c r="I60" s="76" t="s">
        <v>1422</v>
      </c>
      <c r="J60" s="86" t="s">
        <v>1041</v>
      </c>
      <c r="K60" s="77"/>
      <c r="L60" s="77"/>
      <c r="M60" s="76"/>
    </row>
    <row r="61" spans="1:13" ht="18.75" x14ac:dyDescent="0.3">
      <c r="A61" s="72" t="s">
        <v>1803</v>
      </c>
      <c r="B61" s="72" t="s">
        <v>1804</v>
      </c>
      <c r="C61" s="72" t="s">
        <v>1805</v>
      </c>
      <c r="D61" s="86" t="s">
        <v>1745</v>
      </c>
      <c r="E61" s="76" t="s">
        <v>1764</v>
      </c>
      <c r="F61" s="80"/>
      <c r="G61" s="67"/>
      <c r="H61" s="76" t="s">
        <v>1427</v>
      </c>
      <c r="I61" s="76" t="s">
        <v>1426</v>
      </c>
      <c r="J61" s="86"/>
      <c r="K61" s="77"/>
      <c r="L61" s="77"/>
      <c r="M61" s="76"/>
    </row>
    <row r="62" spans="1:13" ht="18.75" x14ac:dyDescent="0.3">
      <c r="A62" s="72" t="s">
        <v>1803</v>
      </c>
      <c r="B62" s="72" t="s">
        <v>1804</v>
      </c>
      <c r="C62" s="72" t="s">
        <v>1805</v>
      </c>
      <c r="D62" s="86" t="s">
        <v>1745</v>
      </c>
      <c r="E62" s="76" t="s">
        <v>1764</v>
      </c>
      <c r="F62" s="80"/>
      <c r="G62" s="67"/>
      <c r="H62" s="76" t="s">
        <v>1429</v>
      </c>
      <c r="I62" s="76" t="s">
        <v>1428</v>
      </c>
      <c r="J62" s="86" t="s">
        <v>392</v>
      </c>
      <c r="K62" s="77"/>
      <c r="L62" s="77"/>
      <c r="M62" s="76"/>
    </row>
    <row r="63" spans="1:13" ht="18.75" x14ac:dyDescent="0.3">
      <c r="A63" s="72" t="s">
        <v>1803</v>
      </c>
      <c r="B63" s="72" t="s">
        <v>1804</v>
      </c>
      <c r="C63" s="72" t="s">
        <v>1805</v>
      </c>
      <c r="D63" s="86" t="s">
        <v>1783</v>
      </c>
      <c r="E63" s="76" t="s">
        <v>1788</v>
      </c>
      <c r="F63" s="80"/>
      <c r="G63" s="67"/>
      <c r="H63" s="76" t="s">
        <v>1433</v>
      </c>
      <c r="I63" s="76" t="s">
        <v>1432</v>
      </c>
      <c r="J63" s="86" t="s">
        <v>933</v>
      </c>
      <c r="K63" s="77"/>
      <c r="L63" s="77"/>
      <c r="M63" s="76"/>
    </row>
    <row r="64" spans="1:13" ht="18.75" x14ac:dyDescent="0.3">
      <c r="A64" s="72" t="s">
        <v>1803</v>
      </c>
      <c r="B64" s="72" t="s">
        <v>1804</v>
      </c>
      <c r="C64" s="72" t="s">
        <v>1805</v>
      </c>
      <c r="D64" s="86" t="s">
        <v>1783</v>
      </c>
      <c r="E64" s="76" t="s">
        <v>1788</v>
      </c>
      <c r="F64" s="80"/>
      <c r="G64" s="67"/>
      <c r="H64" s="76" t="s">
        <v>1437</v>
      </c>
      <c r="I64" s="76" t="s">
        <v>1436</v>
      </c>
      <c r="J64" s="86" t="s">
        <v>933</v>
      </c>
      <c r="K64" s="77"/>
      <c r="L64" s="77"/>
      <c r="M64" s="76"/>
    </row>
    <row r="65" spans="1:13" ht="18.75" x14ac:dyDescent="0.3">
      <c r="A65" s="72" t="s">
        <v>1803</v>
      </c>
      <c r="B65" s="72" t="s">
        <v>1804</v>
      </c>
      <c r="C65" s="72" t="s">
        <v>1805</v>
      </c>
      <c r="D65" s="86" t="s">
        <v>1783</v>
      </c>
      <c r="E65" s="76" t="s">
        <v>1788</v>
      </c>
      <c r="F65" s="80"/>
      <c r="G65" s="67"/>
      <c r="H65" s="76" t="s">
        <v>1441</v>
      </c>
      <c r="I65" s="76" t="s">
        <v>1440</v>
      </c>
      <c r="J65" s="86" t="s">
        <v>933</v>
      </c>
      <c r="K65" s="77"/>
      <c r="L65" s="77"/>
      <c r="M65" s="76"/>
    </row>
    <row r="66" spans="1:13" ht="18.75" x14ac:dyDescent="0.3">
      <c r="A66" s="72" t="s">
        <v>1803</v>
      </c>
      <c r="B66" s="72" t="s">
        <v>1804</v>
      </c>
      <c r="C66" s="72" t="s">
        <v>1805</v>
      </c>
      <c r="D66" s="86" t="s">
        <v>1783</v>
      </c>
      <c r="E66" s="76" t="s">
        <v>1788</v>
      </c>
      <c r="F66" s="80"/>
      <c r="G66" s="67"/>
      <c r="H66" s="76" t="s">
        <v>1445</v>
      </c>
      <c r="I66" s="76" t="s">
        <v>1444</v>
      </c>
      <c r="J66" s="86" t="s">
        <v>277</v>
      </c>
      <c r="K66" s="77"/>
      <c r="L66" s="77"/>
      <c r="M66" s="76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151B-5005-409C-AD0E-D08DFA9CA83D}">
  <dimension ref="A1:P67"/>
  <sheetViews>
    <sheetView topLeftCell="A51" zoomScaleNormal="100" workbookViewId="0">
      <selection activeCell="B2" sqref="B2:B67"/>
    </sheetView>
  </sheetViews>
  <sheetFormatPr defaultRowHeight="15" x14ac:dyDescent="0.25"/>
  <cols>
    <col min="1" max="1" width="32.42578125" bestFit="1" customWidth="1"/>
    <col min="2" max="2" width="31.140625" bestFit="1" customWidth="1"/>
    <col min="3" max="3" width="33.5703125" customWidth="1"/>
    <col min="4" max="4" width="32.28515625" customWidth="1"/>
    <col min="5" max="5" width="27" customWidth="1"/>
    <col min="6" max="6" width="16.7109375" bestFit="1" customWidth="1"/>
    <col min="7" max="7" width="21.42578125" bestFit="1" customWidth="1"/>
    <col min="8" max="8" width="16.42578125" bestFit="1" customWidth="1"/>
  </cols>
  <sheetData>
    <row r="1" spans="1:16" s="50" customFormat="1" x14ac:dyDescent="0.25">
      <c r="A1" s="50" t="s">
        <v>1816</v>
      </c>
      <c r="B1" s="50" t="s">
        <v>1734</v>
      </c>
      <c r="C1" s="50" t="s">
        <v>1735</v>
      </c>
      <c r="D1" s="50" t="s">
        <v>1736</v>
      </c>
      <c r="E1" s="50" t="s">
        <v>1737</v>
      </c>
      <c r="F1" s="50" t="s">
        <v>1738</v>
      </c>
      <c r="G1" s="50" t="s">
        <v>1739</v>
      </c>
      <c r="H1" s="50" t="s">
        <v>1740</v>
      </c>
      <c r="I1" s="50" t="s">
        <v>1741</v>
      </c>
    </row>
    <row r="2" spans="1:16" x14ac:dyDescent="0.25">
      <c r="B2" t="s">
        <v>17</v>
      </c>
      <c r="D2" t="s">
        <v>16</v>
      </c>
      <c r="E2" t="s">
        <v>16</v>
      </c>
      <c r="G2" t="s">
        <v>1742</v>
      </c>
      <c r="H2" t="s">
        <v>1743</v>
      </c>
    </row>
    <row r="3" spans="1:16" ht="26.25" x14ac:dyDescent="0.4">
      <c r="B3" t="s">
        <v>21</v>
      </c>
      <c r="D3" t="s">
        <v>20</v>
      </c>
      <c r="E3" t="s">
        <v>20</v>
      </c>
      <c r="G3" t="s">
        <v>1742</v>
      </c>
      <c r="H3" t="s">
        <v>1743</v>
      </c>
      <c r="K3" s="69" t="s">
        <v>1744</v>
      </c>
      <c r="L3" s="69"/>
      <c r="M3" s="69"/>
      <c r="N3" s="69"/>
      <c r="O3" s="69"/>
      <c r="P3" s="69"/>
    </row>
    <row r="4" spans="1:16" x14ac:dyDescent="0.25">
      <c r="B4" t="s">
        <v>25</v>
      </c>
      <c r="D4" t="s">
        <v>24</v>
      </c>
      <c r="E4" t="s">
        <v>24</v>
      </c>
      <c r="G4" t="s">
        <v>1742</v>
      </c>
      <c r="H4" t="s">
        <v>1743</v>
      </c>
    </row>
    <row r="5" spans="1:16" x14ac:dyDescent="0.25">
      <c r="B5" t="s">
        <v>29</v>
      </c>
      <c r="D5" t="s">
        <v>28</v>
      </c>
      <c r="E5" t="s">
        <v>28</v>
      </c>
      <c r="G5" t="s">
        <v>1742</v>
      </c>
      <c r="H5" t="s">
        <v>1743</v>
      </c>
    </row>
    <row r="6" spans="1:16" x14ac:dyDescent="0.25">
      <c r="B6" t="s">
        <v>47</v>
      </c>
      <c r="D6" t="s">
        <v>45</v>
      </c>
      <c r="E6" t="s">
        <v>45</v>
      </c>
      <c r="F6" t="s">
        <v>46</v>
      </c>
      <c r="G6" t="s">
        <v>1745</v>
      </c>
      <c r="H6" t="s">
        <v>1746</v>
      </c>
    </row>
    <row r="7" spans="1:16" x14ac:dyDescent="0.25">
      <c r="B7" t="s">
        <v>55</v>
      </c>
      <c r="D7" t="s">
        <v>53</v>
      </c>
      <c r="E7" t="s">
        <v>53</v>
      </c>
      <c r="F7" t="s">
        <v>54</v>
      </c>
      <c r="G7" t="s">
        <v>1745</v>
      </c>
      <c r="H7" t="s">
        <v>1746</v>
      </c>
    </row>
    <row r="8" spans="1:16" x14ac:dyDescent="0.25">
      <c r="B8" t="s">
        <v>73</v>
      </c>
      <c r="D8" t="s">
        <v>71</v>
      </c>
      <c r="E8" t="s">
        <v>71</v>
      </c>
      <c r="F8" t="s">
        <v>72</v>
      </c>
      <c r="G8" t="s">
        <v>1745</v>
      </c>
      <c r="H8" t="s">
        <v>1746</v>
      </c>
    </row>
    <row r="9" spans="1:16" x14ac:dyDescent="0.25">
      <c r="B9" t="s">
        <v>77</v>
      </c>
      <c r="D9" t="s">
        <v>76</v>
      </c>
      <c r="E9" t="s">
        <v>76</v>
      </c>
      <c r="G9" t="s">
        <v>1745</v>
      </c>
      <c r="H9" t="s">
        <v>1746</v>
      </c>
    </row>
    <row r="10" spans="1:16" x14ac:dyDescent="0.25">
      <c r="B10" t="s">
        <v>80</v>
      </c>
      <c r="D10" t="s">
        <v>79</v>
      </c>
      <c r="E10" t="s">
        <v>79</v>
      </c>
      <c r="G10" t="s">
        <v>1745</v>
      </c>
      <c r="H10" t="s">
        <v>1746</v>
      </c>
    </row>
    <row r="11" spans="1:16" x14ac:dyDescent="0.25">
      <c r="B11" t="s">
        <v>84</v>
      </c>
      <c r="D11" t="s">
        <v>83</v>
      </c>
      <c r="E11" t="s">
        <v>83</v>
      </c>
      <c r="G11" t="s">
        <v>1745</v>
      </c>
      <c r="H11" t="s">
        <v>1746</v>
      </c>
    </row>
    <row r="12" spans="1:16" x14ac:dyDescent="0.25">
      <c r="B12" t="s">
        <v>88</v>
      </c>
      <c r="D12" t="s">
        <v>87</v>
      </c>
      <c r="E12" t="s">
        <v>87</v>
      </c>
      <c r="G12" t="s">
        <v>1745</v>
      </c>
      <c r="H12" t="s">
        <v>1746</v>
      </c>
    </row>
    <row r="13" spans="1:16" x14ac:dyDescent="0.25">
      <c r="A13" s="6"/>
      <c r="B13" s="6" t="s">
        <v>128</v>
      </c>
      <c r="C13" s="6" t="s">
        <v>1747</v>
      </c>
      <c r="D13" s="6" t="s">
        <v>127</v>
      </c>
      <c r="E13" s="6" t="s">
        <v>1748</v>
      </c>
      <c r="F13" s="6" t="s">
        <v>498</v>
      </c>
      <c r="G13" t="s">
        <v>1745</v>
      </c>
      <c r="H13" t="s">
        <v>1749</v>
      </c>
      <c r="I13" t="s">
        <v>1750</v>
      </c>
    </row>
    <row r="14" spans="1:16" x14ac:dyDescent="0.25">
      <c r="B14" t="s">
        <v>137</v>
      </c>
      <c r="D14" t="s">
        <v>136</v>
      </c>
      <c r="E14" t="s">
        <v>1751</v>
      </c>
      <c r="F14" t="s">
        <v>498</v>
      </c>
      <c r="G14" t="s">
        <v>1745</v>
      </c>
      <c r="H14" t="s">
        <v>1749</v>
      </c>
      <c r="I14" t="s">
        <v>1750</v>
      </c>
    </row>
    <row r="15" spans="1:16" x14ac:dyDescent="0.25">
      <c r="B15" t="s">
        <v>139</v>
      </c>
      <c r="D15" t="s">
        <v>138</v>
      </c>
      <c r="E15" t="s">
        <v>1752</v>
      </c>
      <c r="F15" t="s">
        <v>498</v>
      </c>
      <c r="G15" t="s">
        <v>1745</v>
      </c>
      <c r="H15" t="s">
        <v>1749</v>
      </c>
      <c r="I15" t="s">
        <v>1750</v>
      </c>
    </row>
    <row r="16" spans="1:16" x14ac:dyDescent="0.25">
      <c r="B16" t="s">
        <v>146</v>
      </c>
      <c r="D16" t="s">
        <v>145</v>
      </c>
      <c r="E16" t="s">
        <v>1753</v>
      </c>
      <c r="F16" t="s">
        <v>1754</v>
      </c>
      <c r="G16" t="s">
        <v>1745</v>
      </c>
      <c r="H16" t="s">
        <v>1755</v>
      </c>
    </row>
    <row r="17" spans="1:9" x14ac:dyDescent="0.25">
      <c r="B17" t="s">
        <v>154</v>
      </c>
      <c r="D17" t="s">
        <v>153</v>
      </c>
      <c r="E17" t="s">
        <v>1756</v>
      </c>
      <c r="G17" t="s">
        <v>1745</v>
      </c>
    </row>
    <row r="18" spans="1:9" x14ac:dyDescent="0.25">
      <c r="B18" t="s">
        <v>175</v>
      </c>
      <c r="D18" t="s">
        <v>174</v>
      </c>
      <c r="E18" t="s">
        <v>1757</v>
      </c>
      <c r="G18" t="s">
        <v>1745</v>
      </c>
      <c r="H18" t="s">
        <v>1749</v>
      </c>
      <c r="I18" t="s">
        <v>1750</v>
      </c>
    </row>
    <row r="19" spans="1:9" ht="45" x14ac:dyDescent="0.25">
      <c r="B19" t="s">
        <v>188</v>
      </c>
      <c r="D19" t="s">
        <v>187</v>
      </c>
      <c r="E19" s="55" t="s">
        <v>1758</v>
      </c>
      <c r="F19" t="s">
        <v>1759</v>
      </c>
      <c r="G19" t="s">
        <v>1745</v>
      </c>
      <c r="H19" t="s">
        <v>1749</v>
      </c>
      <c r="I19" t="s">
        <v>1750</v>
      </c>
    </row>
    <row r="20" spans="1:9" x14ac:dyDescent="0.25">
      <c r="B20" t="s">
        <v>191</v>
      </c>
      <c r="D20" t="s">
        <v>190</v>
      </c>
      <c r="E20" t="s">
        <v>1760</v>
      </c>
      <c r="F20" t="s">
        <v>1759</v>
      </c>
      <c r="G20" t="s">
        <v>1745</v>
      </c>
      <c r="H20" t="s">
        <v>1749</v>
      </c>
      <c r="I20" t="s">
        <v>1750</v>
      </c>
    </row>
    <row r="21" spans="1:9" x14ac:dyDescent="0.25">
      <c r="B21" t="s">
        <v>194</v>
      </c>
      <c r="D21" t="s">
        <v>193</v>
      </c>
      <c r="E21" t="s">
        <v>1761</v>
      </c>
      <c r="F21" t="s">
        <v>1759</v>
      </c>
      <c r="G21" t="s">
        <v>1745</v>
      </c>
      <c r="H21" t="s">
        <v>1749</v>
      </c>
      <c r="I21" t="s">
        <v>1750</v>
      </c>
    </row>
    <row r="22" spans="1:9" x14ac:dyDescent="0.25">
      <c r="A22" s="6"/>
      <c r="B22" s="6" t="s">
        <v>331</v>
      </c>
      <c r="C22" s="6" t="s">
        <v>1762</v>
      </c>
      <c r="D22" s="6" t="s">
        <v>329</v>
      </c>
      <c r="E22" s="6" t="s">
        <v>1763</v>
      </c>
      <c r="F22" s="6" t="s">
        <v>330</v>
      </c>
      <c r="G22" s="6" t="s">
        <v>1745</v>
      </c>
      <c r="H22" s="6" t="s">
        <v>1764</v>
      </c>
      <c r="I22" s="6" t="s">
        <v>1765</v>
      </c>
    </row>
    <row r="23" spans="1:9" x14ac:dyDescent="0.25">
      <c r="B23" t="s">
        <v>393</v>
      </c>
      <c r="D23" t="s">
        <v>391</v>
      </c>
      <c r="E23" t="s">
        <v>1766</v>
      </c>
      <c r="F23" t="s">
        <v>392</v>
      </c>
      <c r="G23" t="s">
        <v>1745</v>
      </c>
      <c r="H23" t="s">
        <v>1755</v>
      </c>
    </row>
    <row r="24" spans="1:9" x14ac:dyDescent="0.25">
      <c r="B24" t="s">
        <v>397</v>
      </c>
      <c r="D24" t="s">
        <v>396</v>
      </c>
      <c r="E24" t="s">
        <v>1767</v>
      </c>
      <c r="F24" t="s">
        <v>392</v>
      </c>
      <c r="G24" t="s">
        <v>1745</v>
      </c>
      <c r="H24" t="s">
        <v>1755</v>
      </c>
    </row>
    <row r="25" spans="1:9" x14ac:dyDescent="0.25">
      <c r="B25" t="s">
        <v>401</v>
      </c>
      <c r="D25" t="s">
        <v>400</v>
      </c>
      <c r="E25" t="s">
        <v>400</v>
      </c>
      <c r="F25" t="s">
        <v>354</v>
      </c>
      <c r="G25" t="s">
        <v>1745</v>
      </c>
      <c r="H25" t="s">
        <v>1755</v>
      </c>
    </row>
    <row r="26" spans="1:9" x14ac:dyDescent="0.25">
      <c r="B26" t="s">
        <v>409</v>
      </c>
      <c r="D26" t="s">
        <v>408</v>
      </c>
      <c r="E26" t="s">
        <v>1768</v>
      </c>
      <c r="F26" t="s">
        <v>1769</v>
      </c>
      <c r="G26" t="s">
        <v>1745</v>
      </c>
      <c r="H26" t="s">
        <v>1746</v>
      </c>
    </row>
    <row r="27" spans="1:9" x14ac:dyDescent="0.25">
      <c r="B27" t="s">
        <v>429</v>
      </c>
      <c r="D27" t="s">
        <v>428</v>
      </c>
      <c r="E27" t="s">
        <v>1770</v>
      </c>
      <c r="F27" t="s">
        <v>1771</v>
      </c>
      <c r="G27" t="s">
        <v>1745</v>
      </c>
      <c r="H27" t="s">
        <v>1755</v>
      </c>
    </row>
    <row r="28" spans="1:9" x14ac:dyDescent="0.25">
      <c r="B28" t="s">
        <v>433</v>
      </c>
      <c r="D28" t="s">
        <v>432</v>
      </c>
      <c r="E28" t="s">
        <v>1772</v>
      </c>
      <c r="F28" t="s">
        <v>1771</v>
      </c>
      <c r="G28" t="s">
        <v>1745</v>
      </c>
      <c r="H28" t="s">
        <v>1755</v>
      </c>
    </row>
    <row r="29" spans="1:9" x14ac:dyDescent="0.25">
      <c r="B29" t="s">
        <v>441</v>
      </c>
      <c r="D29" t="s">
        <v>440</v>
      </c>
      <c r="E29" t="s">
        <v>1773</v>
      </c>
      <c r="G29" t="s">
        <v>1745</v>
      </c>
      <c r="H29" t="s">
        <v>1746</v>
      </c>
    </row>
    <row r="30" spans="1:9" ht="20.25" customHeight="1" x14ac:dyDescent="0.25">
      <c r="A30" s="6"/>
      <c r="B30" s="6" t="s">
        <v>481</v>
      </c>
      <c r="C30" s="56" t="s">
        <v>1774</v>
      </c>
      <c r="D30" s="6" t="s">
        <v>480</v>
      </c>
      <c r="E30" s="6" t="s">
        <v>480</v>
      </c>
      <c r="F30" s="6" t="s">
        <v>58</v>
      </c>
      <c r="G30" s="6" t="s">
        <v>1745</v>
      </c>
      <c r="H30" s="6" t="s">
        <v>1775</v>
      </c>
      <c r="I30" s="6"/>
    </row>
    <row r="31" spans="1:9" x14ac:dyDescent="0.25">
      <c r="B31" t="s">
        <v>494</v>
      </c>
      <c r="D31" t="s">
        <v>493</v>
      </c>
      <c r="E31" t="s">
        <v>493</v>
      </c>
      <c r="F31" t="s">
        <v>354</v>
      </c>
      <c r="G31" t="s">
        <v>1745</v>
      </c>
      <c r="H31" t="s">
        <v>1775</v>
      </c>
    </row>
    <row r="32" spans="1:9" x14ac:dyDescent="0.25">
      <c r="B32" t="s">
        <v>625</v>
      </c>
      <c r="D32" t="s">
        <v>624</v>
      </c>
      <c r="E32" t="s">
        <v>624</v>
      </c>
      <c r="F32" t="s">
        <v>277</v>
      </c>
      <c r="G32" t="s">
        <v>1745</v>
      </c>
      <c r="H32" t="s">
        <v>1775</v>
      </c>
    </row>
    <row r="33" spans="1:9" x14ac:dyDescent="0.25">
      <c r="B33" t="s">
        <v>629</v>
      </c>
      <c r="D33" t="s">
        <v>628</v>
      </c>
      <c r="E33" t="s">
        <v>628</v>
      </c>
      <c r="F33" t="s">
        <v>354</v>
      </c>
      <c r="G33" t="s">
        <v>1745</v>
      </c>
      <c r="H33" t="s">
        <v>1775</v>
      </c>
    </row>
    <row r="34" spans="1:9" x14ac:dyDescent="0.25">
      <c r="B34" t="s">
        <v>633</v>
      </c>
      <c r="D34" t="s">
        <v>632</v>
      </c>
      <c r="E34" t="s">
        <v>632</v>
      </c>
      <c r="F34" t="s">
        <v>277</v>
      </c>
      <c r="G34" t="s">
        <v>1745</v>
      </c>
      <c r="H34" t="s">
        <v>1775</v>
      </c>
    </row>
    <row r="35" spans="1:9" x14ac:dyDescent="0.25">
      <c r="B35" t="s">
        <v>637</v>
      </c>
      <c r="D35" t="s">
        <v>636</v>
      </c>
      <c r="E35" t="s">
        <v>636</v>
      </c>
      <c r="F35" t="s">
        <v>354</v>
      </c>
      <c r="G35" t="s">
        <v>1745</v>
      </c>
      <c r="H35" t="s">
        <v>1775</v>
      </c>
    </row>
    <row r="36" spans="1:9" x14ac:dyDescent="0.25">
      <c r="B36" t="s">
        <v>641</v>
      </c>
      <c r="D36" t="s">
        <v>640</v>
      </c>
      <c r="E36" t="s">
        <v>640</v>
      </c>
      <c r="F36" t="s">
        <v>354</v>
      </c>
      <c r="G36" t="s">
        <v>1745</v>
      </c>
      <c r="H36" t="s">
        <v>1775</v>
      </c>
    </row>
    <row r="37" spans="1:9" x14ac:dyDescent="0.25">
      <c r="B37" t="s">
        <v>645</v>
      </c>
      <c r="D37" t="s">
        <v>644</v>
      </c>
      <c r="E37" t="s">
        <v>644</v>
      </c>
      <c r="F37" t="s">
        <v>354</v>
      </c>
      <c r="G37" t="s">
        <v>1745</v>
      </c>
      <c r="H37" t="s">
        <v>1775</v>
      </c>
    </row>
    <row r="38" spans="1:9" x14ac:dyDescent="0.25">
      <c r="B38" t="s">
        <v>649</v>
      </c>
      <c r="D38" t="s">
        <v>648</v>
      </c>
      <c r="E38" t="s">
        <v>648</v>
      </c>
      <c r="F38" t="s">
        <v>354</v>
      </c>
      <c r="G38" t="s">
        <v>1745</v>
      </c>
      <c r="H38" t="s">
        <v>1775</v>
      </c>
    </row>
    <row r="39" spans="1:9" x14ac:dyDescent="0.25">
      <c r="B39" t="s">
        <v>653</v>
      </c>
      <c r="D39" t="s">
        <v>652</v>
      </c>
      <c r="E39" t="s">
        <v>652</v>
      </c>
      <c r="F39" t="s">
        <v>277</v>
      </c>
      <c r="G39" t="s">
        <v>1745</v>
      </c>
      <c r="H39" t="s">
        <v>1775</v>
      </c>
    </row>
    <row r="40" spans="1:9" x14ac:dyDescent="0.25">
      <c r="A40" s="6"/>
      <c r="B40" s="6" t="s">
        <v>697</v>
      </c>
      <c r="C40" s="6" t="s">
        <v>1776</v>
      </c>
      <c r="D40" s="6" t="s">
        <v>696</v>
      </c>
      <c r="E40" s="6" t="s">
        <v>696</v>
      </c>
      <c r="F40" s="6" t="s">
        <v>277</v>
      </c>
      <c r="G40" s="6"/>
      <c r="H40" s="6"/>
      <c r="I40" s="6"/>
    </row>
    <row r="41" spans="1:9" x14ac:dyDescent="0.25">
      <c r="B41" t="s">
        <v>817</v>
      </c>
      <c r="D41" t="s">
        <v>816</v>
      </c>
      <c r="E41" t="s">
        <v>816</v>
      </c>
      <c r="G41" t="s">
        <v>1745</v>
      </c>
      <c r="H41" t="s">
        <v>1764</v>
      </c>
      <c r="I41" t="s">
        <v>1777</v>
      </c>
    </row>
    <row r="42" spans="1:9" x14ac:dyDescent="0.25">
      <c r="B42" t="s">
        <v>821</v>
      </c>
      <c r="D42" t="s">
        <v>820</v>
      </c>
      <c r="E42" t="s">
        <v>820</v>
      </c>
      <c r="G42" t="s">
        <v>1745</v>
      </c>
      <c r="H42" t="s">
        <v>1764</v>
      </c>
      <c r="I42" t="s">
        <v>1777</v>
      </c>
    </row>
    <row r="43" spans="1:9" x14ac:dyDescent="0.25">
      <c r="B43" t="s">
        <v>958</v>
      </c>
      <c r="D43" t="s">
        <v>957</v>
      </c>
      <c r="E43" t="s">
        <v>1778</v>
      </c>
      <c r="F43" t="s">
        <v>933</v>
      </c>
      <c r="G43" t="s">
        <v>1745</v>
      </c>
      <c r="H43" t="s">
        <v>1779</v>
      </c>
    </row>
    <row r="44" spans="1:9" x14ac:dyDescent="0.25">
      <c r="B44" t="s">
        <v>962</v>
      </c>
      <c r="D44" t="s">
        <v>961</v>
      </c>
      <c r="E44" t="s">
        <v>1780</v>
      </c>
      <c r="F44" t="s">
        <v>933</v>
      </c>
      <c r="G44" t="s">
        <v>1745</v>
      </c>
      <c r="H44" t="s">
        <v>1779</v>
      </c>
    </row>
    <row r="45" spans="1:9" x14ac:dyDescent="0.25">
      <c r="B45" t="s">
        <v>974</v>
      </c>
      <c r="D45" t="s">
        <v>973</v>
      </c>
      <c r="E45" t="s">
        <v>973</v>
      </c>
      <c r="F45" t="s">
        <v>933</v>
      </c>
      <c r="G45" t="s">
        <v>1745</v>
      </c>
      <c r="H45" t="s">
        <v>1779</v>
      </c>
    </row>
    <row r="46" spans="1:9" x14ac:dyDescent="0.25">
      <c r="B46" t="s">
        <v>1237</v>
      </c>
      <c r="D46" t="s">
        <v>1236</v>
      </c>
      <c r="E46" t="s">
        <v>1236</v>
      </c>
      <c r="F46" t="s">
        <v>1228</v>
      </c>
      <c r="G46" t="s">
        <v>1745</v>
      </c>
      <c r="H46" t="s">
        <v>1749</v>
      </c>
      <c r="I46" t="s">
        <v>1781</v>
      </c>
    </row>
    <row r="47" spans="1:9" x14ac:dyDescent="0.25">
      <c r="B47" t="s">
        <v>1256</v>
      </c>
      <c r="D47" t="s">
        <v>1255</v>
      </c>
      <c r="E47" t="s">
        <v>1255</v>
      </c>
      <c r="F47" t="s">
        <v>354</v>
      </c>
      <c r="G47" t="s">
        <v>1745</v>
      </c>
      <c r="H47" t="s">
        <v>1749</v>
      </c>
    </row>
    <row r="48" spans="1:9" x14ac:dyDescent="0.25">
      <c r="A48" s="6"/>
      <c r="B48" s="6" t="s">
        <v>1264</v>
      </c>
      <c r="C48" s="6" t="s">
        <v>1782</v>
      </c>
      <c r="D48" s="6" t="s">
        <v>1263</v>
      </c>
      <c r="E48" s="6" t="s">
        <v>1263</v>
      </c>
      <c r="F48" s="6" t="s">
        <v>354</v>
      </c>
      <c r="G48" s="6"/>
      <c r="H48" s="6"/>
      <c r="I48" s="6"/>
    </row>
    <row r="49" spans="1:9" x14ac:dyDescent="0.25">
      <c r="B49" t="s">
        <v>1299</v>
      </c>
      <c r="D49" t="s">
        <v>1298</v>
      </c>
      <c r="E49" t="s">
        <v>1298</v>
      </c>
      <c r="F49" t="s">
        <v>354</v>
      </c>
      <c r="G49" t="s">
        <v>1783</v>
      </c>
      <c r="H49" t="s">
        <v>1784</v>
      </c>
    </row>
    <row r="50" spans="1:9" x14ac:dyDescent="0.25">
      <c r="B50" t="s">
        <v>1303</v>
      </c>
      <c r="D50" t="s">
        <v>1302</v>
      </c>
      <c r="E50" t="s">
        <v>1302</v>
      </c>
      <c r="F50" t="s">
        <v>354</v>
      </c>
      <c r="G50" t="s">
        <v>1783</v>
      </c>
      <c r="H50" t="s">
        <v>1784</v>
      </c>
    </row>
    <row r="51" spans="1:9" x14ac:dyDescent="0.25">
      <c r="B51" t="s">
        <v>1347</v>
      </c>
      <c r="D51" t="s">
        <v>1346</v>
      </c>
      <c r="E51" t="s">
        <v>1346</v>
      </c>
      <c r="F51" t="s">
        <v>33</v>
      </c>
      <c r="G51" t="s">
        <v>1783</v>
      </c>
      <c r="H51" t="s">
        <v>1785</v>
      </c>
    </row>
    <row r="52" spans="1:9" x14ac:dyDescent="0.25">
      <c r="B52" t="s">
        <v>1379</v>
      </c>
      <c r="D52" t="s">
        <v>1378</v>
      </c>
      <c r="E52" t="s">
        <v>1378</v>
      </c>
      <c r="F52" t="s">
        <v>392</v>
      </c>
      <c r="G52" t="s">
        <v>1783</v>
      </c>
      <c r="H52" t="s">
        <v>1785</v>
      </c>
    </row>
    <row r="53" spans="1:9" x14ac:dyDescent="0.25">
      <c r="B53" t="s">
        <v>1383</v>
      </c>
      <c r="D53" t="s">
        <v>1382</v>
      </c>
      <c r="E53" t="s">
        <v>1382</v>
      </c>
      <c r="F53" t="s">
        <v>392</v>
      </c>
      <c r="G53" t="s">
        <v>1783</v>
      </c>
      <c r="H53" t="s">
        <v>1785</v>
      </c>
    </row>
    <row r="54" spans="1:9" x14ac:dyDescent="0.25">
      <c r="B54" t="s">
        <v>1391</v>
      </c>
      <c r="D54" t="s">
        <v>1390</v>
      </c>
      <c r="E54" t="s">
        <v>1390</v>
      </c>
      <c r="F54" t="s">
        <v>330</v>
      </c>
    </row>
    <row r="55" spans="1:9" x14ac:dyDescent="0.25">
      <c r="A55" s="6"/>
      <c r="B55" s="6" t="s">
        <v>1395</v>
      </c>
      <c r="C55" s="56" t="s">
        <v>1786</v>
      </c>
      <c r="D55" s="6" t="s">
        <v>1394</v>
      </c>
      <c r="E55" s="6" t="s">
        <v>1394</v>
      </c>
      <c r="F55" s="6" t="s">
        <v>58</v>
      </c>
      <c r="G55" s="6" t="s">
        <v>1745</v>
      </c>
      <c r="H55" s="6"/>
      <c r="I55" s="6"/>
    </row>
    <row r="56" spans="1:9" x14ac:dyDescent="0.25">
      <c r="A56" s="6"/>
      <c r="B56" s="6" t="s">
        <v>1399</v>
      </c>
      <c r="C56" s="56" t="s">
        <v>1786</v>
      </c>
      <c r="D56" s="6" t="s">
        <v>1398</v>
      </c>
      <c r="E56" s="6" t="s">
        <v>1398</v>
      </c>
      <c r="F56" s="6" t="s">
        <v>58</v>
      </c>
      <c r="G56" s="6" t="s">
        <v>1745</v>
      </c>
      <c r="H56" s="6"/>
      <c r="I56" s="6"/>
    </row>
    <row r="57" spans="1:9" x14ac:dyDescent="0.25">
      <c r="A57" s="6"/>
      <c r="B57" s="6" t="s">
        <v>1403</v>
      </c>
      <c r="C57" s="56" t="s">
        <v>1786</v>
      </c>
      <c r="D57" s="6" t="s">
        <v>1402</v>
      </c>
      <c r="E57" s="6" t="s">
        <v>1402</v>
      </c>
      <c r="F57" s="6" t="s">
        <v>58</v>
      </c>
      <c r="G57" s="6" t="s">
        <v>1745</v>
      </c>
      <c r="H57" s="6"/>
      <c r="I57" s="6"/>
    </row>
    <row r="58" spans="1:9" x14ac:dyDescent="0.25">
      <c r="B58" t="s">
        <v>1411</v>
      </c>
      <c r="D58" t="s">
        <v>1410</v>
      </c>
      <c r="E58" t="s">
        <v>1410</v>
      </c>
      <c r="F58" t="s">
        <v>277</v>
      </c>
      <c r="G58" t="s">
        <v>1745</v>
      </c>
      <c r="H58" t="s">
        <v>1764</v>
      </c>
    </row>
    <row r="59" spans="1:9" x14ac:dyDescent="0.25">
      <c r="B59" t="s">
        <v>1415</v>
      </c>
      <c r="D59" t="s">
        <v>1414</v>
      </c>
      <c r="E59" t="s">
        <v>1414</v>
      </c>
      <c r="F59" t="s">
        <v>559</v>
      </c>
      <c r="G59" t="s">
        <v>1745</v>
      </c>
      <c r="H59" t="s">
        <v>1764</v>
      </c>
    </row>
    <row r="60" spans="1:9" x14ac:dyDescent="0.25">
      <c r="B60" t="s">
        <v>1419</v>
      </c>
      <c r="D60" t="s">
        <v>1418</v>
      </c>
      <c r="E60" t="s">
        <v>1418</v>
      </c>
      <c r="F60" t="s">
        <v>277</v>
      </c>
      <c r="G60" t="s">
        <v>1745</v>
      </c>
      <c r="H60" t="s">
        <v>1764</v>
      </c>
    </row>
    <row r="61" spans="1:9" x14ac:dyDescent="0.25">
      <c r="B61" t="s">
        <v>1423</v>
      </c>
      <c r="D61" t="s">
        <v>1422</v>
      </c>
      <c r="E61" t="s">
        <v>1422</v>
      </c>
      <c r="F61" t="s">
        <v>1041</v>
      </c>
      <c r="G61" t="s">
        <v>1745</v>
      </c>
      <c r="H61" t="s">
        <v>1764</v>
      </c>
    </row>
    <row r="62" spans="1:9" x14ac:dyDescent="0.25">
      <c r="B62" t="s">
        <v>1427</v>
      </c>
      <c r="D62" t="s">
        <v>1426</v>
      </c>
      <c r="E62" t="s">
        <v>1426</v>
      </c>
      <c r="G62" t="s">
        <v>1745</v>
      </c>
      <c r="H62" t="s">
        <v>1764</v>
      </c>
    </row>
    <row r="63" spans="1:9" x14ac:dyDescent="0.25">
      <c r="B63" t="s">
        <v>1429</v>
      </c>
      <c r="D63" t="s">
        <v>1428</v>
      </c>
      <c r="E63" t="s">
        <v>1428</v>
      </c>
      <c r="F63" t="s">
        <v>392</v>
      </c>
      <c r="G63" t="s">
        <v>1745</v>
      </c>
      <c r="H63" t="s">
        <v>1764</v>
      </c>
    </row>
    <row r="64" spans="1:9" x14ac:dyDescent="0.25">
      <c r="B64" t="s">
        <v>1433</v>
      </c>
      <c r="D64" t="s">
        <v>1432</v>
      </c>
      <c r="E64" t="s">
        <v>1787</v>
      </c>
      <c r="F64" t="s">
        <v>933</v>
      </c>
      <c r="G64" t="s">
        <v>1783</v>
      </c>
      <c r="H64" t="s">
        <v>1788</v>
      </c>
    </row>
    <row r="65" spans="2:8" x14ac:dyDescent="0.25">
      <c r="B65" t="s">
        <v>1437</v>
      </c>
      <c r="D65" t="s">
        <v>1436</v>
      </c>
      <c r="E65" t="s">
        <v>1789</v>
      </c>
      <c r="F65" t="s">
        <v>933</v>
      </c>
      <c r="G65" t="s">
        <v>1783</v>
      </c>
      <c r="H65" t="s">
        <v>1788</v>
      </c>
    </row>
    <row r="66" spans="2:8" x14ac:dyDescent="0.25">
      <c r="B66" t="s">
        <v>1441</v>
      </c>
      <c r="D66" t="s">
        <v>1440</v>
      </c>
      <c r="E66" t="s">
        <v>1790</v>
      </c>
      <c r="F66" t="s">
        <v>933</v>
      </c>
      <c r="G66" t="s">
        <v>1783</v>
      </c>
      <c r="H66" t="s">
        <v>1788</v>
      </c>
    </row>
    <row r="67" spans="2:8" x14ac:dyDescent="0.25">
      <c r="B67" t="s">
        <v>1445</v>
      </c>
      <c r="D67" t="s">
        <v>1444</v>
      </c>
      <c r="E67" t="s">
        <v>1791</v>
      </c>
      <c r="F67" t="s">
        <v>277</v>
      </c>
      <c r="G67" t="s">
        <v>1783</v>
      </c>
      <c r="H67" t="s">
        <v>1788</v>
      </c>
    </row>
  </sheetData>
  <mergeCells count="1">
    <mergeCell ref="K3:P3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64BD-B624-4EFE-82E2-AF32FF39FA95}">
  <dimension ref="A2:M9"/>
  <sheetViews>
    <sheetView workbookViewId="0">
      <selection activeCell="D4" sqref="D4:G4"/>
    </sheetView>
  </sheetViews>
  <sheetFormatPr defaultRowHeight="15" x14ac:dyDescent="0.25"/>
  <cols>
    <col min="1" max="1" width="14.140625" bestFit="1" customWidth="1"/>
    <col min="2" max="2" width="13.7109375" bestFit="1" customWidth="1"/>
    <col min="3" max="3" width="24.85546875" bestFit="1" customWidth="1"/>
    <col min="4" max="4" width="21.140625" bestFit="1" customWidth="1"/>
    <col min="5" max="5" width="18.42578125" bestFit="1" customWidth="1"/>
    <col min="6" max="6" width="23" bestFit="1" customWidth="1"/>
    <col min="7" max="7" width="24.7109375" bestFit="1" customWidth="1"/>
    <col min="8" max="8" width="29.7109375" bestFit="1" customWidth="1"/>
    <col min="9" max="9" width="31.5703125" customWidth="1"/>
    <col min="10" max="10" width="31.85546875" bestFit="1" customWidth="1"/>
    <col min="11" max="11" width="16.85546875" bestFit="1" customWidth="1"/>
    <col min="12" max="12" width="24" bestFit="1" customWidth="1"/>
    <col min="13" max="13" width="19.7109375" bestFit="1" customWidth="1"/>
    <col min="15" max="15" width="8.7109375" bestFit="1" customWidth="1"/>
  </cols>
  <sheetData>
    <row r="2" spans="1:13" s="61" customFormat="1" ht="31.5" x14ac:dyDescent="0.25">
      <c r="A2" s="57" t="s">
        <v>1792</v>
      </c>
      <c r="B2" s="57" t="s">
        <v>1793</v>
      </c>
      <c r="C2" s="57" t="s">
        <v>1794</v>
      </c>
      <c r="D2" s="57" t="s">
        <v>1795</v>
      </c>
      <c r="E2" s="57" t="s">
        <v>1740</v>
      </c>
      <c r="F2" s="57" t="s">
        <v>1741</v>
      </c>
      <c r="G2" s="57" t="s">
        <v>1796</v>
      </c>
      <c r="H2" s="58" t="s">
        <v>1797</v>
      </c>
      <c r="I2" s="58" t="s">
        <v>1798</v>
      </c>
      <c r="J2" s="59" t="s">
        <v>1799</v>
      </c>
      <c r="K2" s="57" t="s">
        <v>1800</v>
      </c>
      <c r="L2" s="58" t="s">
        <v>1801</v>
      </c>
      <c r="M2" s="60" t="s">
        <v>1802</v>
      </c>
    </row>
    <row r="3" spans="1:13" ht="18.75" x14ac:dyDescent="0.3">
      <c r="A3" s="62" t="s">
        <v>1803</v>
      </c>
      <c r="B3" s="62" t="s">
        <v>1804</v>
      </c>
      <c r="C3" s="62" t="s">
        <v>1805</v>
      </c>
      <c r="D3" s="62" t="s">
        <v>1783</v>
      </c>
      <c r="E3" s="62" t="s">
        <v>1806</v>
      </c>
      <c r="F3" s="62"/>
      <c r="G3" s="62"/>
      <c r="H3" s="68" t="s">
        <v>1456</v>
      </c>
      <c r="I3" s="66" t="s">
        <v>1264</v>
      </c>
      <c r="J3" s="63" t="s">
        <v>1263</v>
      </c>
      <c r="K3" s="64" t="s">
        <v>354</v>
      </c>
      <c r="L3" s="62"/>
      <c r="M3" s="64"/>
    </row>
    <row r="4" spans="1:13" ht="18.75" x14ac:dyDescent="0.3">
      <c r="A4" s="62" t="s">
        <v>1803</v>
      </c>
      <c r="B4" s="62" t="s">
        <v>1804</v>
      </c>
      <c r="C4" s="62" t="s">
        <v>1805</v>
      </c>
      <c r="D4" s="62" t="s">
        <v>1745</v>
      </c>
      <c r="E4" s="62" t="s">
        <v>1764</v>
      </c>
      <c r="F4" s="62" t="s">
        <v>1777</v>
      </c>
      <c r="G4" s="62" t="s">
        <v>1807</v>
      </c>
      <c r="H4" s="9" t="s">
        <v>689</v>
      </c>
      <c r="I4" s="9" t="s">
        <v>697</v>
      </c>
      <c r="J4" s="63" t="s">
        <v>696</v>
      </c>
      <c r="K4" s="64" t="s">
        <v>277</v>
      </c>
      <c r="L4" s="62"/>
      <c r="M4" s="64"/>
    </row>
    <row r="5" spans="1:13" ht="26.25" x14ac:dyDescent="0.4">
      <c r="A5" s="62" t="s">
        <v>1803</v>
      </c>
      <c r="B5" s="62" t="s">
        <v>1804</v>
      </c>
      <c r="C5" s="62" t="s">
        <v>1805</v>
      </c>
      <c r="D5" s="62" t="s">
        <v>1745</v>
      </c>
      <c r="E5" s="65"/>
      <c r="F5" s="62" t="s">
        <v>1779</v>
      </c>
      <c r="G5" s="62" t="s">
        <v>1808</v>
      </c>
      <c r="H5" s="9" t="s">
        <v>1652</v>
      </c>
      <c r="I5" s="66" t="s">
        <v>1809</v>
      </c>
      <c r="J5" s="63" t="s">
        <v>1810</v>
      </c>
      <c r="K5" s="64" t="s">
        <v>58</v>
      </c>
      <c r="L5" s="62" t="s">
        <v>1811</v>
      </c>
      <c r="M5" s="64" t="s">
        <v>1812</v>
      </c>
    </row>
    <row r="6" spans="1:13" x14ac:dyDescent="0.25">
      <c r="A6" s="67" t="s">
        <v>1803</v>
      </c>
      <c r="B6" s="67" t="s">
        <v>1804</v>
      </c>
      <c r="C6" s="67" t="s">
        <v>1805</v>
      </c>
      <c r="D6" s="67" t="s">
        <v>1745</v>
      </c>
      <c r="E6" s="67"/>
      <c r="F6" s="67"/>
      <c r="G6" s="67"/>
      <c r="H6" s="66" t="s">
        <v>1551</v>
      </c>
      <c r="I6" s="66" t="s">
        <v>1813</v>
      </c>
      <c r="J6" s="67" t="s">
        <v>1814</v>
      </c>
      <c r="K6" s="67" t="s">
        <v>58</v>
      </c>
      <c r="L6" s="67" t="s">
        <v>1811</v>
      </c>
      <c r="M6" s="67" t="s">
        <v>1812</v>
      </c>
    </row>
    <row r="9" spans="1:13" x14ac:dyDescent="0.25">
      <c r="D9" t="s">
        <v>1815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676C-1957-48F2-A11D-2F44373DAF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C0E9-13D9-496A-A609-37A9C5C69CD3}">
  <dimension ref="C3:C368"/>
  <sheetViews>
    <sheetView workbookViewId="0">
      <selection activeCell="C3" sqref="C3:C368"/>
    </sheetView>
  </sheetViews>
  <sheetFormatPr defaultRowHeight="15" x14ac:dyDescent="0.25"/>
  <cols>
    <col min="3" max="3" width="32.42578125" bestFit="1" customWidth="1"/>
  </cols>
  <sheetData>
    <row r="3" spans="3:3" x14ac:dyDescent="0.25">
      <c r="C3" t="s">
        <v>9</v>
      </c>
    </row>
    <row r="4" spans="3:3" x14ac:dyDescent="0.25">
      <c r="C4" t="s">
        <v>13</v>
      </c>
    </row>
    <row r="5" spans="3:3" x14ac:dyDescent="0.25">
      <c r="C5" t="s">
        <v>17</v>
      </c>
    </row>
    <row r="6" spans="3:3" x14ac:dyDescent="0.25">
      <c r="C6" t="s">
        <v>21</v>
      </c>
    </row>
    <row r="7" spans="3:3" x14ac:dyDescent="0.25">
      <c r="C7" t="s">
        <v>25</v>
      </c>
    </row>
    <row r="8" spans="3:3" x14ac:dyDescent="0.25">
      <c r="C8" t="s">
        <v>29</v>
      </c>
    </row>
    <row r="9" spans="3:3" x14ac:dyDescent="0.25">
      <c r="C9" t="s">
        <v>34</v>
      </c>
    </row>
    <row r="10" spans="3:3" x14ac:dyDescent="0.25">
      <c r="C10" t="s">
        <v>38</v>
      </c>
    </row>
    <row r="11" spans="3:3" x14ac:dyDescent="0.25">
      <c r="C11" t="s">
        <v>42</v>
      </c>
    </row>
    <row r="12" spans="3:3" x14ac:dyDescent="0.25">
      <c r="C12" t="s">
        <v>47</v>
      </c>
    </row>
    <row r="13" spans="3:3" x14ac:dyDescent="0.25">
      <c r="C13" t="s">
        <v>51</v>
      </c>
    </row>
    <row r="14" spans="3:3" x14ac:dyDescent="0.25">
      <c r="C14" t="s">
        <v>55</v>
      </c>
    </row>
    <row r="15" spans="3:3" x14ac:dyDescent="0.25">
      <c r="C15" t="s">
        <v>59</v>
      </c>
    </row>
    <row r="16" spans="3:3" x14ac:dyDescent="0.25">
      <c r="C16" t="s">
        <v>64</v>
      </c>
    </row>
    <row r="17" spans="3:3" x14ac:dyDescent="0.25">
      <c r="C17" t="s">
        <v>68</v>
      </c>
    </row>
    <row r="18" spans="3:3" x14ac:dyDescent="0.25">
      <c r="C18" t="s">
        <v>73</v>
      </c>
    </row>
    <row r="19" spans="3:3" x14ac:dyDescent="0.25">
      <c r="C19" t="s">
        <v>77</v>
      </c>
    </row>
    <row r="20" spans="3:3" x14ac:dyDescent="0.25">
      <c r="C20" t="s">
        <v>80</v>
      </c>
    </row>
    <row r="21" spans="3:3" x14ac:dyDescent="0.25">
      <c r="C21" t="s">
        <v>84</v>
      </c>
    </row>
    <row r="22" spans="3:3" x14ac:dyDescent="0.25">
      <c r="C22" t="s">
        <v>88</v>
      </c>
    </row>
    <row r="23" spans="3:3" x14ac:dyDescent="0.25">
      <c r="C23" t="s">
        <v>93</v>
      </c>
    </row>
    <row r="24" spans="3:3" x14ac:dyDescent="0.25">
      <c r="C24" t="s">
        <v>98</v>
      </c>
    </row>
    <row r="25" spans="3:3" x14ac:dyDescent="0.25">
      <c r="C25" t="s">
        <v>103</v>
      </c>
    </row>
    <row r="26" spans="3:3" x14ac:dyDescent="0.25">
      <c r="C26" t="s">
        <v>107</v>
      </c>
    </row>
    <row r="27" spans="3:3" x14ac:dyDescent="0.25">
      <c r="C27" t="s">
        <v>111</v>
      </c>
    </row>
    <row r="28" spans="3:3" x14ac:dyDescent="0.25">
      <c r="C28" t="s">
        <v>116</v>
      </c>
    </row>
    <row r="29" spans="3:3" x14ac:dyDescent="0.25">
      <c r="C29" t="s">
        <v>118</v>
      </c>
    </row>
    <row r="30" spans="3:3" x14ac:dyDescent="0.25">
      <c r="C30" t="s">
        <v>120</v>
      </c>
    </row>
    <row r="31" spans="3:3" x14ac:dyDescent="0.25">
      <c r="C31" t="s">
        <v>124</v>
      </c>
    </row>
    <row r="32" spans="3:3" x14ac:dyDescent="0.25">
      <c r="C32" t="s">
        <v>128</v>
      </c>
    </row>
    <row r="33" spans="3:3" x14ac:dyDescent="0.25">
      <c r="C33" t="s">
        <v>131</v>
      </c>
    </row>
    <row r="34" spans="3:3" x14ac:dyDescent="0.25">
      <c r="C34" t="s">
        <v>134</v>
      </c>
    </row>
    <row r="35" spans="3:3" x14ac:dyDescent="0.25">
      <c r="C35" t="s">
        <v>137</v>
      </c>
    </row>
    <row r="36" spans="3:3" x14ac:dyDescent="0.25">
      <c r="C36" t="s">
        <v>139</v>
      </c>
    </row>
    <row r="37" spans="3:3" x14ac:dyDescent="0.25">
      <c r="C37" t="s">
        <v>143</v>
      </c>
    </row>
    <row r="38" spans="3:3" x14ac:dyDescent="0.25">
      <c r="C38" t="s">
        <v>146</v>
      </c>
    </row>
    <row r="39" spans="3:3" x14ac:dyDescent="0.25">
      <c r="C39" t="s">
        <v>150</v>
      </c>
    </row>
    <row r="40" spans="3:3" x14ac:dyDescent="0.25">
      <c r="C40" t="s">
        <v>154</v>
      </c>
    </row>
    <row r="41" spans="3:3" x14ac:dyDescent="0.25">
      <c r="C41" t="s">
        <v>157</v>
      </c>
    </row>
    <row r="42" spans="3:3" x14ac:dyDescent="0.25">
      <c r="C42" t="s">
        <v>160</v>
      </c>
    </row>
    <row r="43" spans="3:3" x14ac:dyDescent="0.25">
      <c r="C43" t="s">
        <v>163</v>
      </c>
    </row>
    <row r="44" spans="3:3" x14ac:dyDescent="0.25">
      <c r="C44" t="s">
        <v>166</v>
      </c>
    </row>
    <row r="45" spans="3:3" x14ac:dyDescent="0.25">
      <c r="C45" t="s">
        <v>169</v>
      </c>
    </row>
    <row r="46" spans="3:3" x14ac:dyDescent="0.25">
      <c r="C46" t="s">
        <v>172</v>
      </c>
    </row>
    <row r="47" spans="3:3" x14ac:dyDescent="0.25">
      <c r="C47" t="s">
        <v>175</v>
      </c>
    </row>
    <row r="48" spans="3:3" x14ac:dyDescent="0.25">
      <c r="C48" t="s">
        <v>177</v>
      </c>
    </row>
    <row r="49" spans="3:3" x14ac:dyDescent="0.25">
      <c r="C49" t="s">
        <v>180</v>
      </c>
    </row>
    <row r="50" spans="3:3" x14ac:dyDescent="0.25">
      <c r="C50" t="s">
        <v>184</v>
      </c>
    </row>
    <row r="51" spans="3:3" x14ac:dyDescent="0.25">
      <c r="C51" t="s">
        <v>188</v>
      </c>
    </row>
    <row r="52" spans="3:3" x14ac:dyDescent="0.25">
      <c r="C52" t="s">
        <v>191</v>
      </c>
    </row>
    <row r="53" spans="3:3" x14ac:dyDescent="0.25">
      <c r="C53" t="s">
        <v>194</v>
      </c>
    </row>
    <row r="54" spans="3:3" x14ac:dyDescent="0.25">
      <c r="C54" s="6" t="s">
        <v>198</v>
      </c>
    </row>
    <row r="55" spans="3:3" x14ac:dyDescent="0.25">
      <c r="C55" s="6" t="s">
        <v>201</v>
      </c>
    </row>
    <row r="56" spans="3:3" x14ac:dyDescent="0.25">
      <c r="C56" s="6" t="s">
        <v>204</v>
      </c>
    </row>
    <row r="57" spans="3:3" x14ac:dyDescent="0.25">
      <c r="C57" s="6" t="s">
        <v>207</v>
      </c>
    </row>
    <row r="58" spans="3:3" x14ac:dyDescent="0.25">
      <c r="C58" s="6" t="s">
        <v>210</v>
      </c>
    </row>
    <row r="59" spans="3:3" x14ac:dyDescent="0.25">
      <c r="C59" s="6" t="s">
        <v>213</v>
      </c>
    </row>
    <row r="60" spans="3:3" x14ac:dyDescent="0.25">
      <c r="C60" s="6" t="s">
        <v>216</v>
      </c>
    </row>
    <row r="61" spans="3:3" x14ac:dyDescent="0.25">
      <c r="C61" s="6" t="s">
        <v>219</v>
      </c>
    </row>
    <row r="62" spans="3:3" x14ac:dyDescent="0.25">
      <c r="C62" s="6" t="s">
        <v>222</v>
      </c>
    </row>
    <row r="63" spans="3:3" x14ac:dyDescent="0.25">
      <c r="C63" s="6" t="s">
        <v>225</v>
      </c>
    </row>
    <row r="64" spans="3:3" x14ac:dyDescent="0.25">
      <c r="C64" s="6" t="s">
        <v>228</v>
      </c>
    </row>
    <row r="65" spans="3:3" x14ac:dyDescent="0.25">
      <c r="C65" s="6" t="s">
        <v>231</v>
      </c>
    </row>
    <row r="66" spans="3:3" x14ac:dyDescent="0.25">
      <c r="C66" s="6" t="s">
        <v>234</v>
      </c>
    </row>
    <row r="67" spans="3:3" x14ac:dyDescent="0.25">
      <c r="C67" t="s">
        <v>236</v>
      </c>
    </row>
    <row r="68" spans="3:3" x14ac:dyDescent="0.25">
      <c r="C68" s="6" t="s">
        <v>241</v>
      </c>
    </row>
    <row r="69" spans="3:3" x14ac:dyDescent="0.25">
      <c r="C69" s="6" t="s">
        <v>245</v>
      </c>
    </row>
    <row r="70" spans="3:3" x14ac:dyDescent="0.25">
      <c r="C70" s="6" t="s">
        <v>249</v>
      </c>
    </row>
    <row r="71" spans="3:3" x14ac:dyDescent="0.25">
      <c r="C71" t="s">
        <v>252</v>
      </c>
    </row>
    <row r="72" spans="3:3" x14ac:dyDescent="0.25">
      <c r="C72" t="s">
        <v>256</v>
      </c>
    </row>
    <row r="73" spans="3:3" x14ac:dyDescent="0.25">
      <c r="C73" t="s">
        <v>260</v>
      </c>
    </row>
    <row r="74" spans="3:3" x14ac:dyDescent="0.25">
      <c r="C74" t="s">
        <v>264</v>
      </c>
    </row>
    <row r="75" spans="3:3" x14ac:dyDescent="0.25">
      <c r="C75" t="s">
        <v>268</v>
      </c>
    </row>
    <row r="76" spans="3:3" x14ac:dyDescent="0.25">
      <c r="C76" t="s">
        <v>273</v>
      </c>
    </row>
    <row r="77" spans="3:3" x14ac:dyDescent="0.25">
      <c r="C77" t="s">
        <v>278</v>
      </c>
    </row>
    <row r="78" spans="3:3" x14ac:dyDescent="0.25">
      <c r="C78" t="s">
        <v>282</v>
      </c>
    </row>
    <row r="79" spans="3:3" x14ac:dyDescent="0.25">
      <c r="C79" t="s">
        <v>286</v>
      </c>
    </row>
    <row r="80" spans="3:3" x14ac:dyDescent="0.25">
      <c r="C80" t="s">
        <v>290</v>
      </c>
    </row>
    <row r="81" spans="3:3" x14ac:dyDescent="0.25">
      <c r="C81" t="s">
        <v>294</v>
      </c>
    </row>
    <row r="82" spans="3:3" x14ac:dyDescent="0.25">
      <c r="C82" t="s">
        <v>298</v>
      </c>
    </row>
    <row r="83" spans="3:3" x14ac:dyDescent="0.25">
      <c r="C83" t="s">
        <v>302</v>
      </c>
    </row>
    <row r="84" spans="3:3" x14ac:dyDescent="0.25">
      <c r="C84" t="s">
        <v>306</v>
      </c>
    </row>
    <row r="85" spans="3:3" x14ac:dyDescent="0.25">
      <c r="C85" t="s">
        <v>310</v>
      </c>
    </row>
    <row r="86" spans="3:3" x14ac:dyDescent="0.25">
      <c r="C86" t="s">
        <v>314</v>
      </c>
    </row>
    <row r="87" spans="3:3" x14ac:dyDescent="0.25">
      <c r="C87" t="s">
        <v>318</v>
      </c>
    </row>
    <row r="88" spans="3:3" x14ac:dyDescent="0.25">
      <c r="C88" t="s">
        <v>322</v>
      </c>
    </row>
    <row r="89" spans="3:3" x14ac:dyDescent="0.25">
      <c r="C89" t="s">
        <v>326</v>
      </c>
    </row>
    <row r="90" spans="3:3" x14ac:dyDescent="0.25">
      <c r="C90" t="s">
        <v>331</v>
      </c>
    </row>
    <row r="91" spans="3:3" x14ac:dyDescent="0.25">
      <c r="C91" t="s">
        <v>336</v>
      </c>
    </row>
    <row r="92" spans="3:3" x14ac:dyDescent="0.25">
      <c r="C92" t="s">
        <v>340</v>
      </c>
    </row>
    <row r="93" spans="3:3" x14ac:dyDescent="0.25">
      <c r="C93" t="s">
        <v>345</v>
      </c>
    </row>
    <row r="94" spans="3:3" x14ac:dyDescent="0.25">
      <c r="C94" t="s">
        <v>350</v>
      </c>
    </row>
    <row r="95" spans="3:3" x14ac:dyDescent="0.25">
      <c r="C95" t="s">
        <v>355</v>
      </c>
    </row>
    <row r="96" spans="3:3" x14ac:dyDescent="0.25">
      <c r="C96" t="s">
        <v>359</v>
      </c>
    </row>
    <row r="97" spans="3:3" x14ac:dyDescent="0.25">
      <c r="C97" t="s">
        <v>364</v>
      </c>
    </row>
    <row r="98" spans="3:3" x14ac:dyDescent="0.25">
      <c r="C98" t="s">
        <v>368</v>
      </c>
    </row>
    <row r="99" spans="3:3" x14ac:dyDescent="0.25">
      <c r="C99" t="s">
        <v>372</v>
      </c>
    </row>
    <row r="100" spans="3:3" x14ac:dyDescent="0.25">
      <c r="C100" t="s">
        <v>376</v>
      </c>
    </row>
    <row r="101" spans="3:3" x14ac:dyDescent="0.25">
      <c r="C101" t="s">
        <v>380</v>
      </c>
    </row>
    <row r="102" spans="3:3" x14ac:dyDescent="0.25">
      <c r="C102" t="s">
        <v>384</v>
      </c>
    </row>
    <row r="103" spans="3:3" x14ac:dyDescent="0.25">
      <c r="C103" t="s">
        <v>388</v>
      </c>
    </row>
    <row r="104" spans="3:3" x14ac:dyDescent="0.25">
      <c r="C104" t="s">
        <v>393</v>
      </c>
    </row>
    <row r="105" spans="3:3" x14ac:dyDescent="0.25">
      <c r="C105" t="s">
        <v>397</v>
      </c>
    </row>
    <row r="106" spans="3:3" x14ac:dyDescent="0.25">
      <c r="C106" t="s">
        <v>401</v>
      </c>
    </row>
    <row r="107" spans="3:3" x14ac:dyDescent="0.25">
      <c r="C107" t="s">
        <v>405</v>
      </c>
    </row>
    <row r="108" spans="3:3" x14ac:dyDescent="0.25">
      <c r="C108" t="s">
        <v>409</v>
      </c>
    </row>
    <row r="109" spans="3:3" x14ac:dyDescent="0.25">
      <c r="C109" t="s">
        <v>413</v>
      </c>
    </row>
    <row r="110" spans="3:3" x14ac:dyDescent="0.25">
      <c r="C110" t="s">
        <v>417</v>
      </c>
    </row>
    <row r="111" spans="3:3" x14ac:dyDescent="0.25">
      <c r="C111" t="s">
        <v>421</v>
      </c>
    </row>
    <row r="112" spans="3:3" x14ac:dyDescent="0.25">
      <c r="C112" t="s">
        <v>425</v>
      </c>
    </row>
    <row r="113" spans="3:3" x14ac:dyDescent="0.25">
      <c r="C113" t="s">
        <v>429</v>
      </c>
    </row>
    <row r="114" spans="3:3" x14ac:dyDescent="0.25">
      <c r="C114" t="s">
        <v>433</v>
      </c>
    </row>
    <row r="115" spans="3:3" x14ac:dyDescent="0.25">
      <c r="C115" t="s">
        <v>437</v>
      </c>
    </row>
    <row r="116" spans="3:3" x14ac:dyDescent="0.25">
      <c r="C116" t="s">
        <v>441</v>
      </c>
    </row>
    <row r="117" spans="3:3" x14ac:dyDescent="0.25">
      <c r="C117" t="s">
        <v>445</v>
      </c>
    </row>
    <row r="118" spans="3:3" x14ac:dyDescent="0.25">
      <c r="C118" t="s">
        <v>447</v>
      </c>
    </row>
    <row r="119" spans="3:3" x14ac:dyDescent="0.25">
      <c r="C119" t="s">
        <v>449</v>
      </c>
    </row>
    <row r="120" spans="3:3" x14ac:dyDescent="0.25">
      <c r="C120" t="s">
        <v>453</v>
      </c>
    </row>
    <row r="121" spans="3:3" x14ac:dyDescent="0.25">
      <c r="C121" t="s">
        <v>457</v>
      </c>
    </row>
    <row r="122" spans="3:3" x14ac:dyDescent="0.25">
      <c r="C122" t="s">
        <v>461</v>
      </c>
    </row>
    <row r="123" spans="3:3" x14ac:dyDescent="0.25">
      <c r="C123" t="s">
        <v>465</v>
      </c>
    </row>
    <row r="124" spans="3:3" x14ac:dyDescent="0.25">
      <c r="C124" t="s">
        <v>469</v>
      </c>
    </row>
    <row r="125" spans="3:3" x14ac:dyDescent="0.25">
      <c r="C125" t="s">
        <v>473</v>
      </c>
    </row>
    <row r="126" spans="3:3" x14ac:dyDescent="0.25">
      <c r="C126" t="s">
        <v>477</v>
      </c>
    </row>
    <row r="127" spans="3:3" x14ac:dyDescent="0.25">
      <c r="C127" t="s">
        <v>481</v>
      </c>
    </row>
    <row r="128" spans="3:3" x14ac:dyDescent="0.25">
      <c r="C128" t="s">
        <v>486</v>
      </c>
    </row>
    <row r="129" spans="3:3" x14ac:dyDescent="0.25">
      <c r="C129" t="s">
        <v>490</v>
      </c>
    </row>
    <row r="130" spans="3:3" x14ac:dyDescent="0.25">
      <c r="C130" t="s">
        <v>494</v>
      </c>
    </row>
    <row r="131" spans="3:3" x14ac:dyDescent="0.25">
      <c r="C131" t="s">
        <v>499</v>
      </c>
    </row>
    <row r="132" spans="3:3" x14ac:dyDescent="0.25">
      <c r="C132" t="s">
        <v>503</v>
      </c>
    </row>
    <row r="133" spans="3:3" x14ac:dyDescent="0.25">
      <c r="C133" t="s">
        <v>507</v>
      </c>
    </row>
    <row r="134" spans="3:3" x14ac:dyDescent="0.25">
      <c r="C134" t="s">
        <v>511</v>
      </c>
    </row>
    <row r="135" spans="3:3" x14ac:dyDescent="0.25">
      <c r="C135" t="s">
        <v>515</v>
      </c>
    </row>
    <row r="136" spans="3:3" x14ac:dyDescent="0.25">
      <c r="C136" t="s">
        <v>519</v>
      </c>
    </row>
    <row r="137" spans="3:3" x14ac:dyDescent="0.25">
      <c r="C137" t="s">
        <v>523</v>
      </c>
    </row>
    <row r="138" spans="3:3" x14ac:dyDescent="0.25">
      <c r="C138" t="s">
        <v>527</v>
      </c>
    </row>
    <row r="139" spans="3:3" x14ac:dyDescent="0.25">
      <c r="C139" t="s">
        <v>531</v>
      </c>
    </row>
    <row r="140" spans="3:3" x14ac:dyDescent="0.25">
      <c r="C140" t="s">
        <v>535</v>
      </c>
    </row>
    <row r="141" spans="3:3" x14ac:dyDescent="0.25">
      <c r="C141" t="s">
        <v>539</v>
      </c>
    </row>
    <row r="142" spans="3:3" x14ac:dyDescent="0.25">
      <c r="C142" t="s">
        <v>543</v>
      </c>
    </row>
    <row r="143" spans="3:3" x14ac:dyDescent="0.25">
      <c r="C143" t="s">
        <v>547</v>
      </c>
    </row>
    <row r="144" spans="3:3" x14ac:dyDescent="0.25">
      <c r="C144" t="s">
        <v>551</v>
      </c>
    </row>
    <row r="145" spans="3:3" x14ac:dyDescent="0.25">
      <c r="C145" t="s">
        <v>555</v>
      </c>
    </row>
    <row r="146" spans="3:3" x14ac:dyDescent="0.25">
      <c r="C146" t="s">
        <v>560</v>
      </c>
    </row>
    <row r="147" spans="3:3" x14ac:dyDescent="0.25">
      <c r="C147" t="s">
        <v>564</v>
      </c>
    </row>
    <row r="148" spans="3:3" x14ac:dyDescent="0.25">
      <c r="C148" t="s">
        <v>568</v>
      </c>
    </row>
    <row r="149" spans="3:3" x14ac:dyDescent="0.25">
      <c r="C149" t="s">
        <v>572</v>
      </c>
    </row>
    <row r="150" spans="3:3" x14ac:dyDescent="0.25">
      <c r="C150" t="s">
        <v>576</v>
      </c>
    </row>
    <row r="151" spans="3:3" x14ac:dyDescent="0.25">
      <c r="C151" t="s">
        <v>580</v>
      </c>
    </row>
    <row r="152" spans="3:3" x14ac:dyDescent="0.25">
      <c r="C152" t="s">
        <v>585</v>
      </c>
    </row>
    <row r="153" spans="3:3" x14ac:dyDescent="0.25">
      <c r="C153" t="s">
        <v>589</v>
      </c>
    </row>
    <row r="154" spans="3:3" x14ac:dyDescent="0.25">
      <c r="C154" t="s">
        <v>593</v>
      </c>
    </row>
    <row r="155" spans="3:3" x14ac:dyDescent="0.25">
      <c r="C155" t="s">
        <v>597</v>
      </c>
    </row>
    <row r="156" spans="3:3" x14ac:dyDescent="0.25">
      <c r="C156" t="s">
        <v>601</v>
      </c>
    </row>
    <row r="157" spans="3:3" x14ac:dyDescent="0.25">
      <c r="C157" t="s">
        <v>605</v>
      </c>
    </row>
    <row r="158" spans="3:3" x14ac:dyDescent="0.25">
      <c r="C158" t="s">
        <v>609</v>
      </c>
    </row>
    <row r="159" spans="3:3" x14ac:dyDescent="0.25">
      <c r="C159" t="s">
        <v>613</v>
      </c>
    </row>
    <row r="160" spans="3:3" x14ac:dyDescent="0.25">
      <c r="C160" t="s">
        <v>617</v>
      </c>
    </row>
    <row r="161" spans="3:3" x14ac:dyDescent="0.25">
      <c r="C161" t="s">
        <v>621</v>
      </c>
    </row>
    <row r="162" spans="3:3" x14ac:dyDescent="0.25">
      <c r="C162" t="s">
        <v>625</v>
      </c>
    </row>
    <row r="163" spans="3:3" x14ac:dyDescent="0.25">
      <c r="C163" t="s">
        <v>629</v>
      </c>
    </row>
    <row r="164" spans="3:3" x14ac:dyDescent="0.25">
      <c r="C164" t="s">
        <v>633</v>
      </c>
    </row>
    <row r="165" spans="3:3" x14ac:dyDescent="0.25">
      <c r="C165" t="s">
        <v>637</v>
      </c>
    </row>
    <row r="166" spans="3:3" x14ac:dyDescent="0.25">
      <c r="C166" t="s">
        <v>641</v>
      </c>
    </row>
    <row r="167" spans="3:3" x14ac:dyDescent="0.25">
      <c r="C167" t="s">
        <v>645</v>
      </c>
    </row>
    <row r="168" spans="3:3" x14ac:dyDescent="0.25">
      <c r="C168" t="s">
        <v>649</v>
      </c>
    </row>
    <row r="169" spans="3:3" x14ac:dyDescent="0.25">
      <c r="C169" t="s">
        <v>653</v>
      </c>
    </row>
    <row r="170" spans="3:3" x14ac:dyDescent="0.25">
      <c r="C170" t="s">
        <v>657</v>
      </c>
    </row>
    <row r="171" spans="3:3" x14ac:dyDescent="0.25">
      <c r="C171" t="s">
        <v>661</v>
      </c>
    </row>
    <row r="172" spans="3:3" x14ac:dyDescent="0.25">
      <c r="C172" t="s">
        <v>665</v>
      </c>
    </row>
    <row r="173" spans="3:3" x14ac:dyDescent="0.25">
      <c r="C173" t="s">
        <v>669</v>
      </c>
    </row>
    <row r="174" spans="3:3" x14ac:dyDescent="0.25">
      <c r="C174" t="s">
        <v>673</v>
      </c>
    </row>
    <row r="175" spans="3:3" x14ac:dyDescent="0.25">
      <c r="C175" t="s">
        <v>677</v>
      </c>
    </row>
    <row r="176" spans="3:3" x14ac:dyDescent="0.25">
      <c r="C176" t="s">
        <v>681</v>
      </c>
    </row>
    <row r="177" spans="3:3" x14ac:dyDescent="0.25">
      <c r="C177" t="s">
        <v>685</v>
      </c>
    </row>
    <row r="178" spans="3:3" x14ac:dyDescent="0.25">
      <c r="C178" t="s">
        <v>689</v>
      </c>
    </row>
    <row r="179" spans="3:3" x14ac:dyDescent="0.25">
      <c r="C179" t="s">
        <v>693</v>
      </c>
    </row>
    <row r="180" spans="3:3" x14ac:dyDescent="0.25">
      <c r="C180" t="s">
        <v>697</v>
      </c>
    </row>
    <row r="181" spans="3:3" x14ac:dyDescent="0.25">
      <c r="C181" t="s">
        <v>701</v>
      </c>
    </row>
    <row r="182" spans="3:3" x14ac:dyDescent="0.25">
      <c r="C182" t="s">
        <v>705</v>
      </c>
    </row>
    <row r="183" spans="3:3" x14ac:dyDescent="0.25">
      <c r="C183" t="s">
        <v>709</v>
      </c>
    </row>
    <row r="184" spans="3:3" x14ac:dyDescent="0.25">
      <c r="C184" t="s">
        <v>713</v>
      </c>
    </row>
    <row r="185" spans="3:3" x14ac:dyDescent="0.25">
      <c r="C185" t="s">
        <v>717</v>
      </c>
    </row>
    <row r="186" spans="3:3" x14ac:dyDescent="0.25">
      <c r="C186" t="s">
        <v>721</v>
      </c>
    </row>
    <row r="187" spans="3:3" x14ac:dyDescent="0.25">
      <c r="C187" t="s">
        <v>725</v>
      </c>
    </row>
    <row r="188" spans="3:3" x14ac:dyDescent="0.25">
      <c r="C188" t="s">
        <v>729</v>
      </c>
    </row>
    <row r="189" spans="3:3" x14ac:dyDescent="0.25">
      <c r="C189" t="s">
        <v>733</v>
      </c>
    </row>
    <row r="190" spans="3:3" x14ac:dyDescent="0.25">
      <c r="C190" t="s">
        <v>737</v>
      </c>
    </row>
    <row r="191" spans="3:3" x14ac:dyDescent="0.25">
      <c r="C191" t="s">
        <v>741</v>
      </c>
    </row>
    <row r="192" spans="3:3" x14ac:dyDescent="0.25">
      <c r="C192" t="s">
        <v>745</v>
      </c>
    </row>
    <row r="193" spans="3:3" x14ac:dyDescent="0.25">
      <c r="C193" t="s">
        <v>749</v>
      </c>
    </row>
    <row r="194" spans="3:3" x14ac:dyDescent="0.25">
      <c r="C194" t="s">
        <v>753</v>
      </c>
    </row>
    <row r="195" spans="3:3" x14ac:dyDescent="0.25">
      <c r="C195" t="s">
        <v>757</v>
      </c>
    </row>
    <row r="196" spans="3:3" x14ac:dyDescent="0.25">
      <c r="C196" t="s">
        <v>761</v>
      </c>
    </row>
    <row r="197" spans="3:3" x14ac:dyDescent="0.25">
      <c r="C197" t="s">
        <v>765</v>
      </c>
    </row>
    <row r="198" spans="3:3" x14ac:dyDescent="0.25">
      <c r="C198" t="s">
        <v>769</v>
      </c>
    </row>
    <row r="199" spans="3:3" x14ac:dyDescent="0.25">
      <c r="C199" t="s">
        <v>773</v>
      </c>
    </row>
    <row r="200" spans="3:3" x14ac:dyDescent="0.25">
      <c r="C200" t="s">
        <v>777</v>
      </c>
    </row>
    <row r="201" spans="3:3" x14ac:dyDescent="0.25">
      <c r="C201" t="s">
        <v>781</v>
      </c>
    </row>
    <row r="202" spans="3:3" x14ac:dyDescent="0.25">
      <c r="C202" t="s">
        <v>785</v>
      </c>
    </row>
    <row r="203" spans="3:3" x14ac:dyDescent="0.25">
      <c r="C203" t="s">
        <v>789</v>
      </c>
    </row>
    <row r="204" spans="3:3" x14ac:dyDescent="0.25">
      <c r="C204" t="s">
        <v>793</v>
      </c>
    </row>
    <row r="205" spans="3:3" x14ac:dyDescent="0.25">
      <c r="C205" t="s">
        <v>797</v>
      </c>
    </row>
    <row r="206" spans="3:3" x14ac:dyDescent="0.25">
      <c r="C206" t="s">
        <v>801</v>
      </c>
    </row>
    <row r="207" spans="3:3" x14ac:dyDescent="0.25">
      <c r="C207" t="s">
        <v>805</v>
      </c>
    </row>
    <row r="208" spans="3:3" x14ac:dyDescent="0.25">
      <c r="C208" t="s">
        <v>809</v>
      </c>
    </row>
    <row r="209" spans="3:3" x14ac:dyDescent="0.25">
      <c r="C209" t="s">
        <v>813</v>
      </c>
    </row>
    <row r="210" spans="3:3" x14ac:dyDescent="0.25">
      <c r="C210" t="s">
        <v>817</v>
      </c>
    </row>
    <row r="211" spans="3:3" x14ac:dyDescent="0.25">
      <c r="C211" t="s">
        <v>821</v>
      </c>
    </row>
    <row r="212" spans="3:3" x14ac:dyDescent="0.25">
      <c r="C212" t="s">
        <v>825</v>
      </c>
    </row>
    <row r="213" spans="3:3" x14ac:dyDescent="0.25">
      <c r="C213" t="s">
        <v>829</v>
      </c>
    </row>
    <row r="214" spans="3:3" x14ac:dyDescent="0.25">
      <c r="C214" t="s">
        <v>833</v>
      </c>
    </row>
    <row r="215" spans="3:3" x14ac:dyDescent="0.25">
      <c r="C215" t="s">
        <v>837</v>
      </c>
    </row>
    <row r="216" spans="3:3" x14ac:dyDescent="0.25">
      <c r="C216" t="s">
        <v>841</v>
      </c>
    </row>
    <row r="217" spans="3:3" x14ac:dyDescent="0.25">
      <c r="C217" t="s">
        <v>845</v>
      </c>
    </row>
    <row r="218" spans="3:3" x14ac:dyDescent="0.25">
      <c r="C218" t="s">
        <v>849</v>
      </c>
    </row>
    <row r="219" spans="3:3" x14ac:dyDescent="0.25">
      <c r="C219" t="s">
        <v>853</v>
      </c>
    </row>
    <row r="220" spans="3:3" x14ac:dyDescent="0.25">
      <c r="C220" t="s">
        <v>857</v>
      </c>
    </row>
    <row r="221" spans="3:3" x14ac:dyDescent="0.25">
      <c r="C221" t="s">
        <v>861</v>
      </c>
    </row>
    <row r="222" spans="3:3" x14ac:dyDescent="0.25">
      <c r="C222" t="s">
        <v>865</v>
      </c>
    </row>
    <row r="223" spans="3:3" x14ac:dyDescent="0.25">
      <c r="C223" t="s">
        <v>869</v>
      </c>
    </row>
    <row r="224" spans="3:3" x14ac:dyDescent="0.25">
      <c r="C224" t="s">
        <v>873</v>
      </c>
    </row>
    <row r="225" spans="3:3" x14ac:dyDescent="0.25">
      <c r="C225" t="s">
        <v>877</v>
      </c>
    </row>
    <row r="226" spans="3:3" x14ac:dyDescent="0.25">
      <c r="C226" t="s">
        <v>881</v>
      </c>
    </row>
    <row r="227" spans="3:3" x14ac:dyDescent="0.25">
      <c r="C227" t="s">
        <v>885</v>
      </c>
    </row>
    <row r="228" spans="3:3" x14ac:dyDescent="0.25">
      <c r="C228" t="s">
        <v>889</v>
      </c>
    </row>
    <row r="229" spans="3:3" x14ac:dyDescent="0.25">
      <c r="C229" t="s">
        <v>893</v>
      </c>
    </row>
    <row r="230" spans="3:3" x14ac:dyDescent="0.25">
      <c r="C230" t="s">
        <v>897</v>
      </c>
    </row>
    <row r="231" spans="3:3" x14ac:dyDescent="0.25">
      <c r="C231" t="s">
        <v>901</v>
      </c>
    </row>
    <row r="232" spans="3:3" x14ac:dyDescent="0.25">
      <c r="C232" t="s">
        <v>905</v>
      </c>
    </row>
    <row r="233" spans="3:3" x14ac:dyDescent="0.25">
      <c r="C233" t="s">
        <v>909</v>
      </c>
    </row>
    <row r="234" spans="3:3" x14ac:dyDescent="0.25">
      <c r="C234" t="s">
        <v>914</v>
      </c>
    </row>
    <row r="235" spans="3:3" x14ac:dyDescent="0.25">
      <c r="C235" t="s">
        <v>916</v>
      </c>
    </row>
    <row r="236" spans="3:3" x14ac:dyDescent="0.25">
      <c r="C236" t="s">
        <v>918</v>
      </c>
    </row>
    <row r="237" spans="3:3" x14ac:dyDescent="0.25">
      <c r="C237" t="s">
        <v>921</v>
      </c>
    </row>
    <row r="238" spans="3:3" x14ac:dyDescent="0.25">
      <c r="C238" t="s">
        <v>925</v>
      </c>
    </row>
    <row r="239" spans="3:3" x14ac:dyDescent="0.25">
      <c r="C239" t="s">
        <v>929</v>
      </c>
    </row>
    <row r="240" spans="3:3" x14ac:dyDescent="0.25">
      <c r="C240" t="s">
        <v>934</v>
      </c>
    </row>
    <row r="241" spans="3:3" x14ac:dyDescent="0.25">
      <c r="C241" t="s">
        <v>938</v>
      </c>
    </row>
    <row r="242" spans="3:3" x14ac:dyDescent="0.25">
      <c r="C242" t="s">
        <v>942</v>
      </c>
    </row>
    <row r="243" spans="3:3" x14ac:dyDescent="0.25">
      <c r="C243" t="s">
        <v>946</v>
      </c>
    </row>
    <row r="244" spans="3:3" x14ac:dyDescent="0.25">
      <c r="C244" t="s">
        <v>950</v>
      </c>
    </row>
    <row r="245" spans="3:3" x14ac:dyDescent="0.25">
      <c r="C245" t="s">
        <v>954</v>
      </c>
    </row>
    <row r="246" spans="3:3" x14ac:dyDescent="0.25">
      <c r="C246" t="s">
        <v>958</v>
      </c>
    </row>
    <row r="247" spans="3:3" x14ac:dyDescent="0.25">
      <c r="C247" t="s">
        <v>962</v>
      </c>
    </row>
    <row r="248" spans="3:3" x14ac:dyDescent="0.25">
      <c r="C248" t="s">
        <v>966</v>
      </c>
    </row>
    <row r="249" spans="3:3" x14ac:dyDescent="0.25">
      <c r="C249" t="s">
        <v>970</v>
      </c>
    </row>
    <row r="250" spans="3:3" x14ac:dyDescent="0.25">
      <c r="C250" t="s">
        <v>974</v>
      </c>
    </row>
    <row r="251" spans="3:3" x14ac:dyDescent="0.25">
      <c r="C251" t="s">
        <v>976</v>
      </c>
    </row>
    <row r="252" spans="3:3" x14ac:dyDescent="0.25">
      <c r="C252" t="s">
        <v>980</v>
      </c>
    </row>
    <row r="253" spans="3:3" x14ac:dyDescent="0.25">
      <c r="C253" t="s">
        <v>984</v>
      </c>
    </row>
    <row r="254" spans="3:3" x14ac:dyDescent="0.25">
      <c r="C254" t="s">
        <v>988</v>
      </c>
    </row>
    <row r="255" spans="3:3" x14ac:dyDescent="0.25">
      <c r="C255" t="s">
        <v>992</v>
      </c>
    </row>
    <row r="256" spans="3:3" x14ac:dyDescent="0.25">
      <c r="C256" t="s">
        <v>996</v>
      </c>
    </row>
    <row r="257" spans="3:3" x14ac:dyDescent="0.25">
      <c r="C257" t="s">
        <v>1000</v>
      </c>
    </row>
    <row r="258" spans="3:3" x14ac:dyDescent="0.25">
      <c r="C258" t="s">
        <v>1004</v>
      </c>
    </row>
    <row r="259" spans="3:3" x14ac:dyDescent="0.25">
      <c r="C259" t="s">
        <v>1008</v>
      </c>
    </row>
    <row r="260" spans="3:3" x14ac:dyDescent="0.25">
      <c r="C260" t="s">
        <v>1012</v>
      </c>
    </row>
    <row r="261" spans="3:3" x14ac:dyDescent="0.25">
      <c r="C261" t="s">
        <v>1016</v>
      </c>
    </row>
    <row r="262" spans="3:3" x14ac:dyDescent="0.25">
      <c r="C262" t="s">
        <v>1020</v>
      </c>
    </row>
    <row r="263" spans="3:3" x14ac:dyDescent="0.25">
      <c r="C263" t="s">
        <v>1024</v>
      </c>
    </row>
    <row r="264" spans="3:3" x14ac:dyDescent="0.25">
      <c r="C264" t="s">
        <v>1028</v>
      </c>
    </row>
    <row r="265" spans="3:3" x14ac:dyDescent="0.25">
      <c r="C265" t="s">
        <v>1033</v>
      </c>
    </row>
    <row r="266" spans="3:3" x14ac:dyDescent="0.25">
      <c r="C266" t="s">
        <v>1037</v>
      </c>
    </row>
    <row r="267" spans="3:3" x14ac:dyDescent="0.25">
      <c r="C267" t="s">
        <v>1042</v>
      </c>
    </row>
    <row r="268" spans="3:3" x14ac:dyDescent="0.25">
      <c r="C268" t="s">
        <v>1046</v>
      </c>
    </row>
    <row r="269" spans="3:3" x14ac:dyDescent="0.25">
      <c r="C269" t="s">
        <v>1051</v>
      </c>
    </row>
    <row r="270" spans="3:3" x14ac:dyDescent="0.25">
      <c r="C270" t="s">
        <v>1055</v>
      </c>
    </row>
    <row r="271" spans="3:3" x14ac:dyDescent="0.25">
      <c r="C271" t="s">
        <v>1059</v>
      </c>
    </row>
    <row r="272" spans="3:3" x14ac:dyDescent="0.25">
      <c r="C272" t="s">
        <v>1063</v>
      </c>
    </row>
    <row r="273" spans="3:3" x14ac:dyDescent="0.25">
      <c r="C273" t="s">
        <v>1067</v>
      </c>
    </row>
    <row r="274" spans="3:3" x14ac:dyDescent="0.25">
      <c r="C274" t="s">
        <v>1071</v>
      </c>
    </row>
    <row r="275" spans="3:3" x14ac:dyDescent="0.25">
      <c r="C275" t="s">
        <v>1075</v>
      </c>
    </row>
    <row r="276" spans="3:3" x14ac:dyDescent="0.25">
      <c r="C276" t="s">
        <v>1079</v>
      </c>
    </row>
    <row r="277" spans="3:3" x14ac:dyDescent="0.25">
      <c r="C277" t="s">
        <v>1083</v>
      </c>
    </row>
    <row r="278" spans="3:3" x14ac:dyDescent="0.25">
      <c r="C278" t="s">
        <v>1087</v>
      </c>
    </row>
    <row r="279" spans="3:3" x14ac:dyDescent="0.25">
      <c r="C279" t="s">
        <v>1091</v>
      </c>
    </row>
    <row r="280" spans="3:3" x14ac:dyDescent="0.25">
      <c r="C280" t="s">
        <v>1095</v>
      </c>
    </row>
    <row r="281" spans="3:3" x14ac:dyDescent="0.25">
      <c r="C281" t="s">
        <v>1099</v>
      </c>
    </row>
    <row r="282" spans="3:3" x14ac:dyDescent="0.25">
      <c r="C282" t="s">
        <v>1103</v>
      </c>
    </row>
    <row r="283" spans="3:3" x14ac:dyDescent="0.25">
      <c r="C283" t="s">
        <v>1107</v>
      </c>
    </row>
    <row r="284" spans="3:3" x14ac:dyDescent="0.25">
      <c r="C284" t="s">
        <v>1111</v>
      </c>
    </row>
    <row r="285" spans="3:3" x14ac:dyDescent="0.25">
      <c r="C285" t="s">
        <v>1115</v>
      </c>
    </row>
    <row r="286" spans="3:3" x14ac:dyDescent="0.25">
      <c r="C286" t="s">
        <v>1119</v>
      </c>
    </row>
    <row r="287" spans="3:3" x14ac:dyDescent="0.25">
      <c r="C287" t="s">
        <v>1123</v>
      </c>
    </row>
    <row r="288" spans="3:3" x14ac:dyDescent="0.25">
      <c r="C288" t="s">
        <v>1127</v>
      </c>
    </row>
    <row r="289" spans="3:3" x14ac:dyDescent="0.25">
      <c r="C289" t="s">
        <v>1131</v>
      </c>
    </row>
    <row r="290" spans="3:3" x14ac:dyDescent="0.25">
      <c r="C290" t="s">
        <v>1135</v>
      </c>
    </row>
    <row r="291" spans="3:3" x14ac:dyDescent="0.25">
      <c r="C291" t="s">
        <v>1139</v>
      </c>
    </row>
    <row r="292" spans="3:3" x14ac:dyDescent="0.25">
      <c r="C292" t="s">
        <v>1143</v>
      </c>
    </row>
    <row r="293" spans="3:3" x14ac:dyDescent="0.25">
      <c r="C293" t="s">
        <v>1148</v>
      </c>
    </row>
    <row r="294" spans="3:3" x14ac:dyDescent="0.25">
      <c r="C294" t="s">
        <v>1153</v>
      </c>
    </row>
    <row r="295" spans="3:3" x14ac:dyDescent="0.25">
      <c r="C295" t="s">
        <v>1157</v>
      </c>
    </row>
    <row r="296" spans="3:3" x14ac:dyDescent="0.25">
      <c r="C296" t="s">
        <v>1161</v>
      </c>
    </row>
    <row r="297" spans="3:3" x14ac:dyDescent="0.25">
      <c r="C297" t="s">
        <v>1165</v>
      </c>
    </row>
    <row r="298" spans="3:3" x14ac:dyDescent="0.25">
      <c r="C298" t="s">
        <v>1169</v>
      </c>
    </row>
    <row r="299" spans="3:3" x14ac:dyDescent="0.25">
      <c r="C299" t="s">
        <v>1173</v>
      </c>
    </row>
    <row r="300" spans="3:3" x14ac:dyDescent="0.25">
      <c r="C300" t="s">
        <v>1177</v>
      </c>
    </row>
    <row r="301" spans="3:3" x14ac:dyDescent="0.25">
      <c r="C301" t="s">
        <v>1181</v>
      </c>
    </row>
    <row r="302" spans="3:3" x14ac:dyDescent="0.25">
      <c r="C302" t="s">
        <v>1185</v>
      </c>
    </row>
    <row r="303" spans="3:3" x14ac:dyDescent="0.25">
      <c r="C303" t="s">
        <v>1189</v>
      </c>
    </row>
    <row r="304" spans="3:3" x14ac:dyDescent="0.25">
      <c r="C304" t="s">
        <v>1193</v>
      </c>
    </row>
    <row r="305" spans="3:3" x14ac:dyDescent="0.25">
      <c r="C305" t="s">
        <v>1197</v>
      </c>
    </row>
    <row r="306" spans="3:3" x14ac:dyDescent="0.25">
      <c r="C306" t="s">
        <v>1201</v>
      </c>
    </row>
    <row r="307" spans="3:3" x14ac:dyDescent="0.25">
      <c r="C307" t="s">
        <v>1205</v>
      </c>
    </row>
    <row r="308" spans="3:3" x14ac:dyDescent="0.25">
      <c r="C308" t="s">
        <v>1209</v>
      </c>
    </row>
    <row r="309" spans="3:3" x14ac:dyDescent="0.25">
      <c r="C309" t="s">
        <v>1213</v>
      </c>
    </row>
    <row r="310" spans="3:3" x14ac:dyDescent="0.25">
      <c r="C310" t="s">
        <v>1216</v>
      </c>
    </row>
    <row r="311" spans="3:3" x14ac:dyDescent="0.25">
      <c r="C311" t="s">
        <v>1220</v>
      </c>
    </row>
    <row r="312" spans="3:3" x14ac:dyDescent="0.25">
      <c r="C312" t="s">
        <v>1224</v>
      </c>
    </row>
    <row r="313" spans="3:3" x14ac:dyDescent="0.25">
      <c r="C313" t="s">
        <v>1229</v>
      </c>
    </row>
    <row r="314" spans="3:3" x14ac:dyDescent="0.25">
      <c r="C314" t="s">
        <v>1233</v>
      </c>
    </row>
    <row r="315" spans="3:3" x14ac:dyDescent="0.25">
      <c r="C315" s="5" t="s">
        <v>1237</v>
      </c>
    </row>
    <row r="316" spans="3:3" x14ac:dyDescent="0.25">
      <c r="C316" t="s">
        <v>1240</v>
      </c>
    </row>
    <row r="317" spans="3:3" x14ac:dyDescent="0.25">
      <c r="C317" t="s">
        <v>1244</v>
      </c>
    </row>
    <row r="318" spans="3:3" x14ac:dyDescent="0.25">
      <c r="C318" t="s">
        <v>1248</v>
      </c>
    </row>
    <row r="319" spans="3:3" x14ac:dyDescent="0.25">
      <c r="C319" t="s">
        <v>1252</v>
      </c>
    </row>
    <row r="320" spans="3:3" x14ac:dyDescent="0.25">
      <c r="C320" t="s">
        <v>1256</v>
      </c>
    </row>
    <row r="321" spans="3:3" x14ac:dyDescent="0.25">
      <c r="C321" t="s">
        <v>1260</v>
      </c>
    </row>
    <row r="322" spans="3:3" x14ac:dyDescent="0.25">
      <c r="C322" s="5" t="s">
        <v>1264</v>
      </c>
    </row>
    <row r="323" spans="3:3" x14ac:dyDescent="0.25">
      <c r="C323" t="s">
        <v>1267</v>
      </c>
    </row>
    <row r="324" spans="3:3" x14ac:dyDescent="0.25">
      <c r="C324" t="s">
        <v>1271</v>
      </c>
    </row>
    <row r="325" spans="3:3" x14ac:dyDescent="0.25">
      <c r="C325" t="s">
        <v>1275</v>
      </c>
    </row>
    <row r="326" spans="3:3" x14ac:dyDescent="0.25">
      <c r="C326" t="s">
        <v>1279</v>
      </c>
    </row>
    <row r="327" spans="3:3" x14ac:dyDescent="0.25">
      <c r="C327" t="s">
        <v>1283</v>
      </c>
    </row>
    <row r="328" spans="3:3" x14ac:dyDescent="0.25">
      <c r="C328" t="s">
        <v>1287</v>
      </c>
    </row>
    <row r="329" spans="3:3" x14ac:dyDescent="0.25">
      <c r="C329" t="s">
        <v>1291</v>
      </c>
    </row>
    <row r="330" spans="3:3" x14ac:dyDescent="0.25">
      <c r="C330" t="s">
        <v>1295</v>
      </c>
    </row>
    <row r="331" spans="3:3" x14ac:dyDescent="0.25">
      <c r="C331" t="s">
        <v>1299</v>
      </c>
    </row>
    <row r="332" spans="3:3" x14ac:dyDescent="0.25">
      <c r="C332" t="s">
        <v>1303</v>
      </c>
    </row>
    <row r="333" spans="3:3" x14ac:dyDescent="0.25">
      <c r="C333" t="s">
        <v>1307</v>
      </c>
    </row>
    <row r="334" spans="3:3" x14ac:dyDescent="0.25">
      <c r="C334" t="s">
        <v>1311</v>
      </c>
    </row>
    <row r="335" spans="3:3" x14ac:dyDescent="0.25">
      <c r="C335" t="s">
        <v>1315</v>
      </c>
    </row>
    <row r="336" spans="3:3" x14ac:dyDescent="0.25">
      <c r="C336" t="s">
        <v>1319</v>
      </c>
    </row>
    <row r="337" spans="3:3" x14ac:dyDescent="0.25">
      <c r="C337" t="s">
        <v>1323</v>
      </c>
    </row>
    <row r="338" spans="3:3" x14ac:dyDescent="0.25">
      <c r="C338" t="s">
        <v>1327</v>
      </c>
    </row>
    <row r="339" spans="3:3" x14ac:dyDescent="0.25">
      <c r="C339" t="s">
        <v>1331</v>
      </c>
    </row>
    <row r="340" spans="3:3" x14ac:dyDescent="0.25">
      <c r="C340" t="s">
        <v>1335</v>
      </c>
    </row>
    <row r="341" spans="3:3" x14ac:dyDescent="0.25">
      <c r="C341" t="s">
        <v>1339</v>
      </c>
    </row>
    <row r="342" spans="3:3" x14ac:dyDescent="0.25">
      <c r="C342" t="s">
        <v>1343</v>
      </c>
    </row>
    <row r="343" spans="3:3" x14ac:dyDescent="0.25">
      <c r="C343" t="s">
        <v>1347</v>
      </c>
    </row>
    <row r="344" spans="3:3" x14ac:dyDescent="0.25">
      <c r="C344" t="s">
        <v>1351</v>
      </c>
    </row>
    <row r="345" spans="3:3" x14ac:dyDescent="0.25">
      <c r="C345" t="s">
        <v>1355</v>
      </c>
    </row>
    <row r="346" spans="3:3" x14ac:dyDescent="0.25">
      <c r="C346" t="s">
        <v>1359</v>
      </c>
    </row>
    <row r="347" spans="3:3" x14ac:dyDescent="0.25">
      <c r="C347" t="s">
        <v>1363</v>
      </c>
    </row>
    <row r="348" spans="3:3" x14ac:dyDescent="0.25">
      <c r="C348" t="s">
        <v>1367</v>
      </c>
    </row>
    <row r="349" spans="3:3" x14ac:dyDescent="0.25">
      <c r="C349" t="s">
        <v>1371</v>
      </c>
    </row>
    <row r="350" spans="3:3" x14ac:dyDescent="0.25">
      <c r="C350" t="s">
        <v>1375</v>
      </c>
    </row>
    <row r="351" spans="3:3" x14ac:dyDescent="0.25">
      <c r="C351" t="s">
        <v>1379</v>
      </c>
    </row>
    <row r="352" spans="3:3" x14ac:dyDescent="0.25">
      <c r="C352" t="s">
        <v>1383</v>
      </c>
    </row>
    <row r="353" spans="3:3" x14ac:dyDescent="0.25">
      <c r="C353" t="s">
        <v>1387</v>
      </c>
    </row>
    <row r="354" spans="3:3" x14ac:dyDescent="0.25">
      <c r="C354" t="s">
        <v>1391</v>
      </c>
    </row>
    <row r="355" spans="3:3" x14ac:dyDescent="0.25">
      <c r="C355" t="s">
        <v>1395</v>
      </c>
    </row>
    <row r="356" spans="3:3" x14ac:dyDescent="0.25">
      <c r="C356" t="s">
        <v>1399</v>
      </c>
    </row>
    <row r="357" spans="3:3" x14ac:dyDescent="0.25">
      <c r="C357" t="s">
        <v>1403</v>
      </c>
    </row>
    <row r="358" spans="3:3" x14ac:dyDescent="0.25">
      <c r="C358" t="s">
        <v>1407</v>
      </c>
    </row>
    <row r="359" spans="3:3" x14ac:dyDescent="0.25">
      <c r="C359" t="s">
        <v>1411</v>
      </c>
    </row>
    <row r="360" spans="3:3" x14ac:dyDescent="0.25">
      <c r="C360" t="s">
        <v>1415</v>
      </c>
    </row>
    <row r="361" spans="3:3" x14ac:dyDescent="0.25">
      <c r="C361" t="s">
        <v>1419</v>
      </c>
    </row>
    <row r="362" spans="3:3" x14ac:dyDescent="0.25">
      <c r="C362" t="s">
        <v>1423</v>
      </c>
    </row>
    <row r="363" spans="3:3" x14ac:dyDescent="0.25">
      <c r="C363" t="s">
        <v>1427</v>
      </c>
    </row>
    <row r="364" spans="3:3" x14ac:dyDescent="0.25">
      <c r="C364" t="s">
        <v>1429</v>
      </c>
    </row>
    <row r="365" spans="3:3" x14ac:dyDescent="0.25">
      <c r="C365" t="s">
        <v>1433</v>
      </c>
    </row>
    <row r="366" spans="3:3" x14ac:dyDescent="0.25">
      <c r="C366" t="s">
        <v>1437</v>
      </c>
    </row>
    <row r="367" spans="3:3" x14ac:dyDescent="0.25">
      <c r="C367" t="s">
        <v>1441</v>
      </c>
    </row>
    <row r="368" spans="3:3" x14ac:dyDescent="0.25">
      <c r="C368" t="s">
        <v>1445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44078CF58AE34ABF78D2D9A1B30CBA" ma:contentTypeVersion="15" ma:contentTypeDescription="Create a new document." ma:contentTypeScope="" ma:versionID="9c909dab79cfdbc2a777682a0e3ef349">
  <xsd:schema xmlns:xsd="http://www.w3.org/2001/XMLSchema" xmlns:xs="http://www.w3.org/2001/XMLSchema" xmlns:p="http://schemas.microsoft.com/office/2006/metadata/properties" xmlns:ns3="ac98e45f-2486-4a1d-bba5-75ea710befb3" xmlns:ns4="ecb6f179-4d6e-4c29-aa19-4d08794f59df" targetNamespace="http://schemas.microsoft.com/office/2006/metadata/properties" ma:root="true" ma:fieldsID="7a7dad31c8b60fccb17433d6dbc1397d" ns3:_="" ns4:_="">
    <xsd:import namespace="ac98e45f-2486-4a1d-bba5-75ea710befb3"/>
    <xsd:import namespace="ecb6f179-4d6e-4c29-aa19-4d08794f59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8e45f-2486-4a1d-bba5-75ea710bef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6f179-4d6e-4c29-aa19-4d08794f59d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98e45f-2486-4a1d-bba5-75ea710befb3" xsi:nil="true"/>
  </documentManagement>
</p:properties>
</file>

<file path=customXml/itemProps1.xml><?xml version="1.0" encoding="utf-8"?>
<ds:datastoreItem xmlns:ds="http://schemas.openxmlformats.org/officeDocument/2006/customXml" ds:itemID="{A12C77D3-6232-493C-B729-251FBDF7B3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98e45f-2486-4a1d-bba5-75ea710befb3"/>
    <ds:schemaRef ds:uri="ecb6f179-4d6e-4c29-aa19-4d08794f5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25E0C3-B03B-4D3B-B56B-D3BAFF5D12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43EC04-32AF-4FD6-816A-0074E61EB742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ac98e45f-2486-4a1d-bba5-75ea710befb3"/>
    <ds:schemaRef ds:uri="http://schemas.openxmlformats.org/package/2006/metadata/core-properties"/>
    <ds:schemaRef ds:uri="ecb6f179-4d6e-4c29-aa19-4d08794f59d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Sheet3</vt:lpstr>
      <vt:lpstr>New List of Tags vs IDI</vt:lpstr>
      <vt:lpstr>Old List of R&amp;D Tags vs IDI</vt:lpstr>
      <vt:lpstr>CHECK THIS ONE</vt:lpstr>
      <vt:lpstr>R&amp;D tags in IDI format</vt:lpstr>
      <vt:lpstr>R&amp;D Tags Missing in IDI (AB)</vt:lpstr>
      <vt:lpstr>IDI tags corrected</vt:lpstr>
      <vt:lpstr>Sheet5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Carolina Jaimes Prado</cp:lastModifiedBy>
  <cp:revision/>
  <dcterms:created xsi:type="dcterms:W3CDTF">2024-10-29T14:11:22Z</dcterms:created>
  <dcterms:modified xsi:type="dcterms:W3CDTF">2025-03-25T19:24:33Z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f6cbc4-f22e-46a2-a187-d6b48aa54b7b_Enabled">
    <vt:lpwstr>true</vt:lpwstr>
  </property>
  <property fmtid="{D5CDD505-2E9C-101B-9397-08002B2CF9AE}" pid="3" name="MSIP_Label_75f6cbc4-f22e-46a2-a187-d6b48aa54b7b_SetDate">
    <vt:lpwstr>2025-02-18T10:51:28Z</vt:lpwstr>
  </property>
  <property fmtid="{D5CDD505-2E9C-101B-9397-08002B2CF9AE}" pid="4" name="MSIP_Label_75f6cbc4-f22e-46a2-a187-d6b48aa54b7b_Method">
    <vt:lpwstr>Standard</vt:lpwstr>
  </property>
  <property fmtid="{D5CDD505-2E9C-101B-9397-08002B2CF9AE}" pid="5" name="MSIP_Label_75f6cbc4-f22e-46a2-a187-d6b48aa54b7b_Name">
    <vt:lpwstr>75f6cbc4-f22e-46a2-a187-d6b48aa54b7b</vt:lpwstr>
  </property>
  <property fmtid="{D5CDD505-2E9C-101B-9397-08002B2CF9AE}" pid="6" name="MSIP_Label_75f6cbc4-f22e-46a2-a187-d6b48aa54b7b_SiteId">
    <vt:lpwstr>423430e8-247c-44d1-9767-22723b7d4cb2</vt:lpwstr>
  </property>
  <property fmtid="{D5CDD505-2E9C-101B-9397-08002B2CF9AE}" pid="7" name="MSIP_Label_75f6cbc4-f22e-46a2-a187-d6b48aa54b7b_ActionId">
    <vt:lpwstr>f2a0b09c-da69-435e-b5ab-45cc01b84c38</vt:lpwstr>
  </property>
  <property fmtid="{D5CDD505-2E9C-101B-9397-08002B2CF9AE}" pid="8" name="MSIP_Label_75f6cbc4-f22e-46a2-a187-d6b48aa54b7b_ContentBits">
    <vt:lpwstr>2</vt:lpwstr>
  </property>
  <property fmtid="{D5CDD505-2E9C-101B-9397-08002B2CF9AE}" pid="9" name="MSIP_Label_75f6cbc4-f22e-46a2-a187-d6b48aa54b7b_Tag">
    <vt:lpwstr>10, 3, 0, 2</vt:lpwstr>
  </property>
  <property fmtid="{D5CDD505-2E9C-101B-9397-08002B2CF9AE}" pid="10" name="ContentTypeId">
    <vt:lpwstr>0x010100A044078CF58AE34ABF78D2D9A1B30CBA</vt:lpwstr>
  </property>
</Properties>
</file>