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workspace\costimiser\"/>
    </mc:Choice>
  </mc:AlternateContent>
  <xr:revisionPtr revIDLastSave="0" documentId="8_{D2ECE5CD-9EAD-43B2-B071-987F6A0904D8}" xr6:coauthVersionLast="47" xr6:coauthVersionMax="47" xr10:uidLastSave="{00000000-0000-0000-0000-000000000000}"/>
  <bookViews>
    <workbookView xWindow="57480" yWindow="-120" windowWidth="29040" windowHeight="15720" activeTab="1" xr2:uid="{B2AEF39C-632B-4671-A0A2-1147201C3634}"/>
  </bookViews>
  <sheets>
    <sheet name="Summary" sheetId="27" r:id="rId1"/>
    <sheet name="Main KPIs" sheetId="20" r:id="rId2"/>
    <sheet name="Paper Quality" sheetId="13" r:id="rId3"/>
    <sheet name="Stock prep main KPI" sheetId="12" r:id="rId4"/>
    <sheet name="Approach Flow - Thick Stock" sheetId="1" r:id="rId5"/>
    <sheet name="Approach Flow - Thinstock" sheetId="2" r:id="rId6"/>
    <sheet name="Headbox" sheetId="3" r:id="rId7"/>
    <sheet name="Forming section" sheetId="4" r:id="rId8"/>
    <sheet name="Press" sheetId="6" r:id="rId9"/>
    <sheet name="Drying section" sheetId="7" r:id="rId10"/>
    <sheet name="Ventilation - PD" sheetId="19" r:id="rId11"/>
    <sheet name="Ventilation - AD" sheetId="22" r:id="rId12"/>
    <sheet name="Sizer" sheetId="10" r:id="rId13"/>
    <sheet name="Pope Reeler" sheetId="16" r:id="rId14"/>
    <sheet name="Draws and Drives" sheetId="8" r:id="rId15"/>
    <sheet name="Steam consumption" sheetId="23" r:id="rId16"/>
    <sheet name="Steam" sheetId="18" r:id="rId17"/>
    <sheet name="Starch" sheetId="11" r:id="rId18"/>
    <sheet name="Chemicals - ret. aid" sheetId="26" r:id="rId19"/>
    <sheet name="Chemicals - size" sheetId="24" r:id="rId20"/>
    <sheet name="Chemicals - dye" sheetId="25" r:id="rId21"/>
    <sheet name="PM Discfilter" sheetId="15" r:id="rId22"/>
    <sheet name="Vacuum pumps" sheetId="17" r:id="rId23"/>
    <sheet name="Break detectors" sheetId="9" r:id="rId24"/>
  </sheets>
  <definedNames>
    <definedName name="UNI_AA_VERSION" hidden="1">"323.2.0"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9" l="1"/>
  <c r="D6" i="9"/>
  <c r="D5" i="9"/>
  <c r="D4" i="9"/>
  <c r="D47" i="17"/>
  <c r="D46" i="17"/>
  <c r="D45" i="17"/>
  <c r="D44" i="17"/>
  <c r="D43" i="17"/>
  <c r="D42" i="17"/>
  <c r="D41" i="17"/>
  <c r="D40" i="17"/>
  <c r="D39" i="17"/>
  <c r="D38" i="17"/>
  <c r="D36" i="17"/>
  <c r="D35" i="17"/>
  <c r="D34" i="17"/>
  <c r="D33" i="17"/>
  <c r="D32" i="17"/>
  <c r="D31" i="17"/>
  <c r="D30" i="17"/>
  <c r="D29" i="17"/>
  <c r="D28" i="17"/>
  <c r="D27" i="17"/>
  <c r="D26" i="17"/>
  <c r="D25" i="17"/>
  <c r="D24" i="17"/>
  <c r="D23" i="17"/>
  <c r="D22" i="17"/>
  <c r="D21" i="17"/>
  <c r="D19" i="17"/>
  <c r="D18" i="17"/>
  <c r="D17" i="17"/>
  <c r="D16" i="17"/>
  <c r="D15" i="17"/>
  <c r="D14" i="17"/>
  <c r="D13" i="17"/>
  <c r="D12" i="17"/>
  <c r="D10" i="17"/>
  <c r="D9" i="17"/>
  <c r="D8" i="17"/>
  <c r="D7" i="17"/>
  <c r="D6" i="17"/>
  <c r="D5" i="17"/>
  <c r="D26" i="27"/>
  <c r="D23" i="27"/>
  <c r="E23" i="27" s="1"/>
  <c r="D22" i="27"/>
  <c r="D21" i="27"/>
  <c r="D20" i="27"/>
  <c r="E20" i="27" s="1"/>
  <c r="D18" i="27"/>
  <c r="D17" i="27"/>
  <c r="D15" i="27"/>
  <c r="D14" i="27"/>
  <c r="D12" i="27"/>
  <c r="E12" i="27" s="1"/>
  <c r="D11" i="27"/>
  <c r="D9" i="27"/>
  <c r="D7" i="27"/>
  <c r="E7" i="27" s="1"/>
  <c r="D6" i="27"/>
  <c r="D5" i="27"/>
  <c r="C26" i="27"/>
  <c r="E26" i="27" s="1"/>
  <c r="C23" i="27"/>
  <c r="C22" i="27"/>
  <c r="C21" i="27"/>
  <c r="C20" i="27"/>
  <c r="C19" i="27"/>
  <c r="C18" i="27"/>
  <c r="C17" i="27"/>
  <c r="C15" i="27"/>
  <c r="C12" i="27"/>
  <c r="C11" i="27"/>
  <c r="E11" i="27" s="1"/>
  <c r="C9" i="27"/>
  <c r="C7" i="27"/>
  <c r="C6" i="27"/>
  <c r="C5" i="27"/>
  <c r="D4" i="27"/>
  <c r="C4" i="27"/>
  <c r="D1" i="15"/>
  <c r="F1" i="15" s="1"/>
  <c r="B1" i="15"/>
  <c r="D1" i="25"/>
  <c r="F1" i="25" s="1"/>
  <c r="B1" i="25"/>
  <c r="D1" i="24"/>
  <c r="B1" i="24"/>
  <c r="D1" i="26"/>
  <c r="B1" i="26"/>
  <c r="F1" i="26" s="1"/>
  <c r="D1" i="11"/>
  <c r="B1" i="11"/>
  <c r="D1" i="18"/>
  <c r="D19" i="27" s="1"/>
  <c r="B1" i="18"/>
  <c r="D1" i="23"/>
  <c r="D1" i="8"/>
  <c r="B1" i="8"/>
  <c r="D1" i="16"/>
  <c r="D16" i="27" s="1"/>
  <c r="B1" i="16"/>
  <c r="F1" i="16" s="1"/>
  <c r="D1" i="10"/>
  <c r="B1" i="10"/>
  <c r="F1" i="10" s="1"/>
  <c r="D1" i="22"/>
  <c r="B1" i="22"/>
  <c r="F1" i="22" s="1"/>
  <c r="D1" i="19"/>
  <c r="F1" i="19" s="1"/>
  <c r="B1" i="19"/>
  <c r="C13" i="27" s="1"/>
  <c r="D1" i="7"/>
  <c r="B1" i="7"/>
  <c r="F1" i="7" s="1"/>
  <c r="D1" i="6"/>
  <c r="F1" i="6" s="1"/>
  <c r="B1" i="6"/>
  <c r="D1" i="4"/>
  <c r="D10" i="27" s="1"/>
  <c r="B1" i="4"/>
  <c r="C10" i="27" s="1"/>
  <c r="D1" i="3"/>
  <c r="B1" i="3"/>
  <c r="D1" i="2"/>
  <c r="D8" i="27" s="1"/>
  <c r="B1" i="2"/>
  <c r="C8" i="27" s="1"/>
  <c r="D1" i="1"/>
  <c r="F1" i="1" s="1"/>
  <c r="B1" i="1"/>
  <c r="D1" i="12"/>
  <c r="B1" i="12"/>
  <c r="D1" i="13"/>
  <c r="B1" i="13"/>
  <c r="D1" i="20"/>
  <c r="B1" i="20"/>
  <c r="B6" i="23"/>
  <c r="B26" i="23"/>
  <c r="B24" i="23"/>
  <c r="B22" i="23"/>
  <c r="B21" i="23"/>
  <c r="B20" i="23"/>
  <c r="B19" i="23"/>
  <c r="C16" i="27" l="1"/>
  <c r="E16" i="27" s="1"/>
  <c r="C14" i="27"/>
  <c r="E14" i="27" s="1"/>
  <c r="D13" i="27"/>
  <c r="E4" i="27"/>
  <c r="E5" i="27"/>
  <c r="E22" i="27"/>
  <c r="E17" i="27"/>
  <c r="E13" i="27"/>
  <c r="D3" i="27"/>
  <c r="E18" i="27"/>
  <c r="E15" i="27"/>
  <c r="E19" i="27"/>
  <c r="E21" i="27"/>
  <c r="E10" i="27"/>
  <c r="E9" i="27"/>
  <c r="E8" i="27"/>
  <c r="E6" i="27"/>
  <c r="F1" i="24"/>
  <c r="F1" i="11"/>
  <c r="B1" i="23"/>
  <c r="F1" i="12"/>
  <c r="F1" i="13"/>
  <c r="F1" i="18"/>
  <c r="F1" i="23"/>
  <c r="F1" i="8"/>
  <c r="F1" i="4"/>
  <c r="F1" i="3"/>
  <c r="F1" i="2"/>
  <c r="F1" i="20"/>
  <c r="C3" i="27" l="1"/>
  <c r="E3"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tc={ABB24F47-323E-40D2-9F24-7E0B607FA987}</author>
    <author>tc={61225D8C-5456-49A8-BB26-90D58182819F}</author>
    <author>tc={C0F7D2D2-8382-474C-A0A8-EC8A72A4C0AF}</author>
    <author>tc={B3F9C62D-60BB-4BF1-BB7F-B5A6BD6BB892}</author>
    <author>tc={9A859196-D78A-4D88-B696-EDE976B1D474}</author>
    <author>tc={D6352981-F6CC-48F6-AFCC-9D9705D7B9D1}</author>
    <author>tc={E9FAA72C-4A55-4358-B352-E9D3ACB87A8C}</author>
    <author>tc={7FF43ECA-9B3A-4E8D-873A-19C62ECB3374}</author>
    <author>tc={962E7EC7-5E26-40D1-A663-727BD3422917}</author>
    <author>tc={BE80E3BE-F655-47B0-937F-CC1B45FC0893}</author>
    <author>tc={8EDAEA09-B9B1-4E56-BDBA-C87C49AD8838}</author>
    <author>tc={EC6BDE74-FFA5-4F21-B772-7FED9F2C11ED}</author>
  </authors>
  <commentList>
    <comment ref="B6" authorId="0" shapeId="0" xr:uid="{ABB24F47-323E-40D2-9F24-7E0B607FA987}">
      <text>
        <t>[Threaded comment]
Your version of Excel allows you to read this threaded comment; however, any edits to it will get removed if the file is opened in a newer version of Excel. Learn more: https://go.microsoft.com/fwlink/?linkid=870924
Comment:
    No Raw Data
Reply:
    No raw data</t>
      </text>
    </comment>
    <comment ref="B7" authorId="1" shapeId="0" xr:uid="{61225D8C-5456-49A8-BB26-90D58182819F}">
      <text>
        <t>[Threaded comment]
Your version of Excel allows you to read this threaded comment; however, any edits to it will get removed if the file is opened in a newer version of Excel. Learn more: https://go.microsoft.com/fwlink/?linkid=870924
Comment:
    No raw data</t>
      </text>
    </comment>
    <comment ref="B8" authorId="2" shapeId="0" xr:uid="{C0F7D2D2-8382-474C-A0A8-EC8A72A4C0AF}">
      <text>
        <t>[Threaded comment]
Your version of Excel allows you to read this threaded comment; however, any edits to it will get removed if the file is opened in a newer version of Excel. Learn more: https://go.microsoft.com/fwlink/?linkid=870924
Comment:
    Better QCS raw data</t>
      </text>
    </comment>
    <comment ref="B15" authorId="3" shapeId="0" xr:uid="{B3F9C62D-60BB-4BF1-BB7F-B5A6BD6BB892}">
      <text>
        <t>[Threaded comment]
Your version of Excel allows you to read this threaded comment; however, any edits to it will get removed if the file is opened in a newer version of Excel. Learn more: https://go.microsoft.com/fwlink/?linkid=870924
Comment:
    No needed</t>
      </text>
    </comment>
    <comment ref="B21" authorId="4" shapeId="0" xr:uid="{9A859196-D78A-4D88-B696-EDE976B1D474}">
      <text>
        <t>[Threaded comment]
Your version of Excel allows you to read this threaded comment; however, any edits to it will get removed if the file is opened in a newer version of Excel. Learn more: https://go.microsoft.com/fwlink/?linkid=870924
Comment:
    Missing flow transmitters, consistency transmitters. Ideally an online consistency transmitter is the best.</t>
      </text>
    </comment>
    <comment ref="B30" authorId="5" shapeId="0" xr:uid="{D6352981-F6CC-48F6-AFCC-9D9705D7B9D1}">
      <text>
        <t>[Threaded comment]
Your version of Excel allows you to read this threaded comment; however, any edits to it will get removed if the file is opened in a newer version of Excel. Learn more: https://go.microsoft.com/fwlink/?linkid=870924
Comment:
    Unfortunately lab values. QCS online ones needed.</t>
      </text>
    </comment>
    <comment ref="B31" authorId="6" shapeId="0" xr:uid="{E9FAA72C-4A55-4358-B352-E9D3ACB87A8C}">
      <text>
        <t>[Threaded comment]
Your version of Excel allows you to read this threaded comment; however, any edits to it will get removed if the file is opened in a newer version of Excel. Learn more: https://go.microsoft.com/fwlink/?linkid=870924
Comment:
    Unfortunately lab values. QCS online ones needed.</t>
      </text>
    </comment>
    <comment ref="B32" authorId="7" shapeId="0" xr:uid="{7FF43ECA-9B3A-4E8D-873A-19C62ECB3374}">
      <text>
        <t>[Threaded comment]
Your version of Excel allows you to read this threaded comment; however, any edits to it will get removed if the file is opened in a newer version of Excel. Learn more: https://go.microsoft.com/fwlink/?linkid=870924
Comment:
    Unfortunately lab values. QCS online ones needed.</t>
      </text>
    </comment>
    <comment ref="B46" authorId="8" shapeId="0" xr:uid="{962E7EC7-5E26-40D1-A663-727BD3422917}">
      <text>
        <t>[Threaded comment]
Your version of Excel allows you to read this threaded comment; however, any edits to it will get removed if the file is opened in a newer version of Excel. Learn more: https://go.microsoft.com/fwlink/?linkid=870924
Comment:
    This is the whole consumption but we need the specific one. Included.</t>
      </text>
    </comment>
    <comment ref="B47" authorId="9" shapeId="0" xr:uid="{BE80E3BE-F655-47B0-937F-CC1B45FC0893}">
      <text>
        <t>[Threaded comment]
Your version of Excel allows you to read this threaded comment; however, any edits to it will get removed if the file is opened in a newer version of Excel. Learn more: https://go.microsoft.com/fwlink/?linkid=870924
Comment:
    To be done once TurboBlower project is finished.</t>
      </text>
    </comment>
    <comment ref="B48" authorId="10" shapeId="0" xr:uid="{8EDAEA09-B9B1-4E56-BDBA-C87C49AD8838}">
      <text>
        <t>[Threaded comment]
Your version of Excel allows you to read this threaded comment; however, any edits to it will get removed if the file is opened in a newer version of Excel. Learn more: https://go.microsoft.com/fwlink/?linkid=870924
Comment:
    To be done once TurboBlower project is finished.</t>
      </text>
    </comment>
    <comment ref="B49" authorId="11" shapeId="0" xr:uid="{EC6BDE74-FFA5-4F21-B772-7FED9F2C11ED}">
      <text>
        <t>[Threaded comment]
Your version of Excel allows you to read this threaded comment; however, any edits to it will get removed if the file is opened in a newer version of Excel. Learn more: https://go.microsoft.com/fwlink/?linkid=870924
Comment:
    To be done once TurboBlower project is finished.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tc={DB4A9892-0C91-46EB-91DE-4DA172258F5A}</author>
    <author>tc={64B04D6F-B2DC-4B01-A0E5-541ADF8A6664}</author>
    <author>tc={82CCC747-321F-4EDC-87B6-B44181B5D29B}</author>
  </authors>
  <commentList>
    <comment ref="B24" authorId="0" shapeId="0" xr:uid="{DB4A9892-0C91-46EB-91DE-4DA172258F5A}">
      <text>
        <t>[Threaded comment]
Your version of Excel allows you to read this threaded comment; however, any edits to it will get removed if the file is opened in a newer version of Excel. Learn more: https://go.microsoft.com/fwlink/?linkid=870924
Comment:
    No data</t>
      </text>
    </comment>
    <comment ref="B26" authorId="1" shapeId="0" xr:uid="{64B04D6F-B2DC-4B01-A0E5-541ADF8A6664}">
      <text>
        <t>[Threaded comment]
Your version of Excel allows you to read this threaded comment; however, any edits to it will get removed if the file is opened in a newer version of Excel. Learn more: https://go.microsoft.com/fwlink/?linkid=870924
Comment:
    Not available</t>
      </text>
    </comment>
    <comment ref="B29" authorId="2" shapeId="0" xr:uid="{82CCC747-321F-4EDC-87B6-B44181B5D29B}">
      <text>
        <t>[Threaded comment]
Your version of Excel allows you to read this threaded comment; however, any edits to it will get removed if the file is opened in a newer version of Excel. Learn more: https://go.microsoft.com/fwlink/?linkid=870924
Comment:
    Not available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tc={DFA913A1-C587-41D8-82FF-26F5A571CABE}</author>
  </authors>
  <commentList>
    <comment ref="B24" authorId="0" shapeId="0" xr:uid="{DFA913A1-C587-41D8-82FF-26F5A571CABE}">
      <text>
        <t>[Threaded comment]
Your version of Excel allows you to read this threaded comment; however, any edits to it will get removed if the file is opened in a newer version of Excel. Learn more: https://go.microsoft.com/fwlink/?linkid=870924
Comment:
    Forming section speed available (needed for the total draw), but I forgot to note the TAG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tc={D77090E1-F344-43B2-893E-CF0167EE46A6}</author>
  </authors>
  <commentList>
    <comment ref="B9" authorId="0" shapeId="0" xr:uid="{D77090E1-F344-43B2-893E-CF0167EE46A6}">
      <text>
        <t>[Threaded comment]
Your version of Excel allows you to read this threaded comment; however, any edits to it will get removed if the file is opened in a newer version of Excel. Learn more: https://go.microsoft.com/fwlink/?linkid=870924
Comment:
    No data. Zero always. HB_C14.DACACA.PV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tc={FE1A8FE4-B79F-4D44-B301-5213F4342666}</author>
  </authors>
  <commentList>
    <comment ref="B6" authorId="0" shapeId="0" xr:uid="{FE1A8FE4-B79F-4D44-B301-5213F4342666}">
      <text>
        <t>[Threaded comment]
Your version of Excel allows you to read this threaded comment; however, any edits to it will get removed if the file is opened in a newer version of Excel. Learn more: https://go.microsoft.com/fwlink/?linkid=870924
Comment:
    It cannot be seen. Not existing</t>
      </text>
    </comment>
  </commentList>
</comments>
</file>

<file path=xl/sharedStrings.xml><?xml version="1.0" encoding="utf-8"?>
<sst xmlns="http://schemas.openxmlformats.org/spreadsheetml/2006/main" count="1857" uniqueCount="938">
  <si>
    <t>GOLDEN BATCH SUB FOLDER</t>
  </si>
  <si>
    <t>REQUESTED LOOPS</t>
  </si>
  <si>
    <t>AVAILABLE / IMPLEMENTED</t>
  </si>
  <si>
    <t>% PROGRESS</t>
  </si>
  <si>
    <t>COMMENTS</t>
  </si>
  <si>
    <t>TOTAL</t>
  </si>
  <si>
    <t>Main KPIs</t>
  </si>
  <si>
    <t>Paper Quality</t>
  </si>
  <si>
    <t>Stock prep main KPI</t>
  </si>
  <si>
    <t>Approach Flow - Thick Stock</t>
  </si>
  <si>
    <t>Approach Flow - Thinstock</t>
  </si>
  <si>
    <t>Headbox</t>
  </si>
  <si>
    <t>Forming section</t>
  </si>
  <si>
    <t>Press</t>
  </si>
  <si>
    <t>Drying section</t>
  </si>
  <si>
    <t>Ventilation - PD</t>
  </si>
  <si>
    <t>Ventilation - AD</t>
  </si>
  <si>
    <t>Sizer</t>
  </si>
  <si>
    <t>Pope Reeler</t>
  </si>
  <si>
    <t>Draws and Drives</t>
  </si>
  <si>
    <t>Steam consumption</t>
  </si>
  <si>
    <t>Steam</t>
  </si>
  <si>
    <t>Starch</t>
  </si>
  <si>
    <t>Chemicals - ret. aid</t>
  </si>
  <si>
    <t>Chemicals - size</t>
  </si>
  <si>
    <t>Chemicals - dye</t>
  </si>
  <si>
    <t>Fresh water consumption</t>
  </si>
  <si>
    <t>Not requested</t>
  </si>
  <si>
    <t>White water</t>
  </si>
  <si>
    <t>PM Discfilter</t>
  </si>
  <si>
    <t>Vacuum</t>
  </si>
  <si>
    <t>Requested, but modified soon</t>
  </si>
  <si>
    <t>Machine Hall ventilation</t>
  </si>
  <si>
    <t>Broke system</t>
  </si>
  <si>
    <t>Hydraulics</t>
  </si>
  <si>
    <t>Lubrication</t>
  </si>
  <si>
    <t>Compressed air</t>
  </si>
  <si>
    <t>Key parameters/Quality</t>
  </si>
  <si>
    <t>Loop</t>
  </si>
  <si>
    <t>Loop in?</t>
  </si>
  <si>
    <t>Production rate t/h</t>
  </si>
  <si>
    <t>PRODUCTION_RATE</t>
  </si>
  <si>
    <t>Y</t>
  </si>
  <si>
    <t>reel drum speed</t>
  </si>
  <si>
    <t>POPE_REEL_SPEED</t>
  </si>
  <si>
    <t>Paper grade</t>
  </si>
  <si>
    <t>CURRENT_GRADE_SPEC1</t>
  </si>
  <si>
    <t>Grammage QCS</t>
  </si>
  <si>
    <t>BASSIS_WEIGHT_AVERAGE</t>
  </si>
  <si>
    <t>ODW Reeler</t>
  </si>
  <si>
    <t>Calculated as Basis weight minus moisture</t>
  </si>
  <si>
    <t>ODW Reeler COV</t>
  </si>
  <si>
    <t>Calculated in wedge</t>
  </si>
  <si>
    <t>Sizer moisture</t>
  </si>
  <si>
    <t>Not Available</t>
  </si>
  <si>
    <t>Sizer moisture COV</t>
  </si>
  <si>
    <t>Pending as per above</t>
  </si>
  <si>
    <t>Reel moisture</t>
  </si>
  <si>
    <t>MOISTURE_AVERAGE</t>
  </si>
  <si>
    <t>Reel moisture COV</t>
  </si>
  <si>
    <t>Relative steam consumption</t>
  </si>
  <si>
    <t>FI411 divided by gross production rate</t>
  </si>
  <si>
    <t>Total steam consumption</t>
  </si>
  <si>
    <t>FI411</t>
  </si>
  <si>
    <t>PD relative steam consumption (press section dryness)</t>
  </si>
  <si>
    <t>Calculated PD divided by mass flow thick stock</t>
  </si>
  <si>
    <t>Vertical slice position</t>
  </si>
  <si>
    <t>ZQ103A01N.DACA.PV</t>
  </si>
  <si>
    <t>Horizontal slice psotion</t>
  </si>
  <si>
    <t>on PLC</t>
  </si>
  <si>
    <t>Efflux ratio - jet to wire</t>
  </si>
  <si>
    <t>Calculated. Ratio and delta</t>
  </si>
  <si>
    <t>Headbox flow</t>
  </si>
  <si>
    <t>CALCULATED ON WEDGE</t>
  </si>
  <si>
    <t>Headbox consistency</t>
  </si>
  <si>
    <t>Roughly calculated on wedge for evolution comparisson.</t>
  </si>
  <si>
    <t>Starch usage (ml/m2)</t>
  </si>
  <si>
    <t>N/A</t>
  </si>
  <si>
    <t>Starch concentration</t>
  </si>
  <si>
    <t>Starch usage (%)</t>
  </si>
  <si>
    <t>Starch viscosity at storage tank</t>
  </si>
  <si>
    <t>SCT MD/CD ratio</t>
  </si>
  <si>
    <t>SCT CD</t>
  </si>
  <si>
    <t>SCT_CD</t>
  </si>
  <si>
    <t>CMT</t>
  </si>
  <si>
    <t>CMT_30</t>
  </si>
  <si>
    <t>Burst</t>
  </si>
  <si>
    <t>PLESNIRE</t>
  </si>
  <si>
    <t>Color (L)</t>
  </si>
  <si>
    <t>CULOARE_L</t>
  </si>
  <si>
    <t>Color (a)</t>
  </si>
  <si>
    <t>CULOARE_a</t>
  </si>
  <si>
    <t>Color (b)</t>
  </si>
  <si>
    <t>CULOARE_b</t>
  </si>
  <si>
    <t>Specific dye consumption</t>
  </si>
  <si>
    <t>WW consistency measurement</t>
  </si>
  <si>
    <t>Specific retention aid consumption</t>
  </si>
  <si>
    <t>Calculated in wedge. Rough calculation.</t>
  </si>
  <si>
    <t>Cobb</t>
  </si>
  <si>
    <t>COBB_60s</t>
  </si>
  <si>
    <t>Specific sizing agent consumption</t>
  </si>
  <si>
    <t>Calculated in wedge. No data</t>
  </si>
  <si>
    <t>Air in stock</t>
  </si>
  <si>
    <t>Specific defoamer consumption</t>
  </si>
  <si>
    <t>Total draw</t>
  </si>
  <si>
    <t>Calculated in wedge.</t>
  </si>
  <si>
    <t>shoe press draw</t>
  </si>
  <si>
    <t>1st group draw</t>
  </si>
  <si>
    <t>Web tension before sizer</t>
  </si>
  <si>
    <t>Web width at sizer (from scanner)</t>
  </si>
  <si>
    <t>?</t>
  </si>
  <si>
    <t>To be added when scanne ris functioning</t>
  </si>
  <si>
    <t>Web width at reel (from scanner)</t>
  </si>
  <si>
    <t>WIDTH_CURRENT_JUMBO</t>
  </si>
  <si>
    <t xml:space="preserve">Specific electricity usage </t>
  </si>
  <si>
    <t>EIC_ECP.DACA.PV</t>
  </si>
  <si>
    <t>Total forming section vacuum</t>
  </si>
  <si>
    <t>Total press section vacuum</t>
  </si>
  <si>
    <t>Total vacuum</t>
  </si>
  <si>
    <t xml:space="preserve">Freshwater usage </t>
  </si>
  <si>
    <t>Lab temperature</t>
  </si>
  <si>
    <t>Lab moisture</t>
  </si>
  <si>
    <t>% of corrugated board fibre</t>
  </si>
  <si>
    <t>Grammage lab</t>
  </si>
  <si>
    <t>GRAMAJ</t>
  </si>
  <si>
    <t>Grammage error</t>
  </si>
  <si>
    <t>SCT geometrical mean</t>
  </si>
  <si>
    <t>SCT MD</t>
  </si>
  <si>
    <t>SCT_MD</t>
  </si>
  <si>
    <t>SCT MD index</t>
  </si>
  <si>
    <t>SCT CD index</t>
  </si>
  <si>
    <t>Burst index</t>
  </si>
  <si>
    <t>Porosity</t>
  </si>
  <si>
    <t>POROSITY_GURLEY</t>
  </si>
  <si>
    <t>Plybond</t>
  </si>
  <si>
    <t>PLYBOND</t>
  </si>
  <si>
    <t>Tensile strength geometrical mean</t>
  </si>
  <si>
    <t>Tensile strength MD/CD ratio</t>
  </si>
  <si>
    <t>TEA MD/CD ratio</t>
  </si>
  <si>
    <t>Tensile strength MD</t>
  </si>
  <si>
    <t>TENSILE_STRENGTH_MD</t>
  </si>
  <si>
    <t>Stretch MD (%)</t>
  </si>
  <si>
    <t>TEA MD</t>
  </si>
  <si>
    <t>Tensile strength CD</t>
  </si>
  <si>
    <t>TENSILE_STRENGTH_CD</t>
  </si>
  <si>
    <t>Stretch CD (%)</t>
  </si>
  <si>
    <t>TEA CD</t>
  </si>
  <si>
    <t>Calliper</t>
  </si>
  <si>
    <t>Available but no data</t>
  </si>
  <si>
    <t>Paper specific volume</t>
  </si>
  <si>
    <t>Paper density</t>
  </si>
  <si>
    <t>Forming section dryness TS</t>
  </si>
  <si>
    <t>Forming section dryness DS</t>
  </si>
  <si>
    <t>Press section dryness</t>
  </si>
  <si>
    <t>Shoe press dryness</t>
  </si>
  <si>
    <t>Pulper recipe</t>
  </si>
  <si>
    <t>Refiner power consumption</t>
  </si>
  <si>
    <t>Refiner relative power consumption</t>
  </si>
  <si>
    <t>calculated</t>
  </si>
  <si>
    <t>dP across refiner</t>
  </si>
  <si>
    <t>Production rate( STOCK PREP)</t>
  </si>
  <si>
    <t>WI1312013.DACA.PV</t>
  </si>
  <si>
    <t>Dump tower level</t>
  </si>
  <si>
    <t>LIC1317092.DACA.PV</t>
  </si>
  <si>
    <t>Fibre tower feeding the paper machine levels(  C9 INLET TO FRACTIONATOR)</t>
  </si>
  <si>
    <t>LIC1317163.DACA.PV</t>
  </si>
  <si>
    <t>Broke storage tower level</t>
  </si>
  <si>
    <t>LI1437081.DACA.PV</t>
  </si>
  <si>
    <t>Paper machine whitewater level</t>
  </si>
  <si>
    <t>LIC1447001.DACA.PV</t>
  </si>
  <si>
    <t>Stock Prep whitewater tower level</t>
  </si>
  <si>
    <t>LIC1317021.DACA.PV</t>
  </si>
  <si>
    <t>Dump tower consistency</t>
  </si>
  <si>
    <t>QIC1317094.DACA.PV</t>
  </si>
  <si>
    <t>Dump tower consistency Set point</t>
  </si>
  <si>
    <t>QIC1317094.PID_PLA.SP</t>
  </si>
  <si>
    <t>Dump tower consistency output</t>
  </si>
  <si>
    <t>QIC1317094.PID_PLA.OP</t>
  </si>
  <si>
    <t>Dump tower consistency COV</t>
  </si>
  <si>
    <t>Fibre tower consistency(  C9 INLET TO FRACTIONATOR)</t>
  </si>
  <si>
    <t>QIC1317164.DACA.PV</t>
  </si>
  <si>
    <t>Fibre tower consistency Set point(  C9 INLET TO FRACTIONATOR)</t>
  </si>
  <si>
    <t>QIC1317164.PID_PLA.SP</t>
  </si>
  <si>
    <t>Fibre tower consistency output(  C9 INLET TO FRACTIONATOR)</t>
  </si>
  <si>
    <t>QIC1317164.PID_PLA.OP</t>
  </si>
  <si>
    <t>Fibre tower consistency(  C9 INLET TO FRACTIONATOR) COV</t>
  </si>
  <si>
    <t>Broke storage consistency measured</t>
  </si>
  <si>
    <t>QIC1437087.DACA.PV</t>
  </si>
  <si>
    <t>Broke storage consistency measured set point</t>
  </si>
  <si>
    <t>QIC1437087.PID_PLA.SP</t>
  </si>
  <si>
    <t>Broke storage consistency valve position</t>
  </si>
  <si>
    <t>QIC1437087.PID_PLA.OP</t>
  </si>
  <si>
    <t>Broke storage consistency measured COV</t>
  </si>
  <si>
    <t>Paper machine whitewater consistency</t>
  </si>
  <si>
    <t>Stock Prep whitewater tower consistency</t>
  </si>
  <si>
    <t>Reject stream flows - coars, cleaners</t>
  </si>
  <si>
    <t>OCC storage tank level</t>
  </si>
  <si>
    <t>OCC storage tank level set point</t>
  </si>
  <si>
    <t>LIC1317092.PID_PLA.SP</t>
  </si>
  <si>
    <t>OCC consistency measured</t>
  </si>
  <si>
    <t>OCC consistency measured COV</t>
  </si>
  <si>
    <t>Calculated in Wedge</t>
  </si>
  <si>
    <t>OCC consistency set point</t>
  </si>
  <si>
    <t>OCC consistency valve position</t>
  </si>
  <si>
    <t>Broke storage tank level</t>
  </si>
  <si>
    <t>Broke storage tank level set point</t>
  </si>
  <si>
    <t>Broke storage measured COV</t>
  </si>
  <si>
    <t>Blend chest level( C 14 SF)</t>
  </si>
  <si>
    <t>LI1317201.DACA.PV</t>
  </si>
  <si>
    <t>Blend chest level ( C11 LF)</t>
  </si>
  <si>
    <t>LI1317231.DACA.PV</t>
  </si>
  <si>
    <t>Blend chest conistency( C14 SF)</t>
  </si>
  <si>
    <t>QIC1317202.DACA.PV</t>
  </si>
  <si>
    <t>Blend chest conistency( C14 SF) COV</t>
  </si>
  <si>
    <t>Blend chest conistency set point  (C14 SF)</t>
  </si>
  <si>
    <t>QIC1317202.PID_PLA.SP</t>
  </si>
  <si>
    <t>Blend chest consistency valve position( C14 SF)</t>
  </si>
  <si>
    <t>QIC1317202.PID_PLA.OP</t>
  </si>
  <si>
    <t>Blend chest conistency( C11 LF)</t>
  </si>
  <si>
    <t>QIC1317232.DACA.PV</t>
  </si>
  <si>
    <t>Blend chest conistency( C11 LF) COV</t>
  </si>
  <si>
    <t>Blend chest conistency set point  (C11 LF)</t>
  </si>
  <si>
    <t>QIC1317232.PID_PLA.SP</t>
  </si>
  <si>
    <t>Blend chest consistency valve position( C11 LF)</t>
  </si>
  <si>
    <t>QIC1317232.PID_PLA.OP</t>
  </si>
  <si>
    <t>OCC flow to blend chest( C9 TO FRACTIONATOR STAGE)</t>
  </si>
  <si>
    <t>FIC1317166.DACA.PV</t>
  </si>
  <si>
    <t>OCC flow to blend chest set point</t>
  </si>
  <si>
    <t>FIC1317166.PID_PLA.SP</t>
  </si>
  <si>
    <t>OCC flow to blend chest valve position</t>
  </si>
  <si>
    <t>FIC1317166.PID_PLA.OP</t>
  </si>
  <si>
    <t>Broke flow to blend chest ( TO C1)</t>
  </si>
  <si>
    <t>FFIC1437084.DACA.PV</t>
  </si>
  <si>
    <t>Broke flow to blend chest set point ( TO C1)</t>
  </si>
  <si>
    <t>FFIC1437084.PID_PLA.SP</t>
  </si>
  <si>
    <t>Broke flow to blend chest valve position (TO C1)</t>
  </si>
  <si>
    <t>FFIC1437084.PID_PLA.OP</t>
  </si>
  <si>
    <t>Broke flow to blend chest ( TO MACHINE CHEST)</t>
  </si>
  <si>
    <t>FIC1437092.DACA.PV</t>
  </si>
  <si>
    <t>Broke flow to blend chest set point ( TO MACHINE CHEST)</t>
  </si>
  <si>
    <t>FIC1437092.PID_PLA.SP</t>
  </si>
  <si>
    <t>Broke flow to blend chest valve position ( TO MACHINE CHEST)</t>
  </si>
  <si>
    <t>FIC1437092.PID_PLA.OP</t>
  </si>
  <si>
    <t>Machine chest level</t>
  </si>
  <si>
    <t>LIC1417001.DACA.PV</t>
  </si>
  <si>
    <t>Machine chest level set point</t>
  </si>
  <si>
    <t>LIC1417001.PID_PLA.SP</t>
  </si>
  <si>
    <t>Machine chest conistency</t>
  </si>
  <si>
    <t>QIC1417018.DACA.PV</t>
  </si>
  <si>
    <t>Machine chest conistency COV</t>
  </si>
  <si>
    <t>Machine chest conistency set point</t>
  </si>
  <si>
    <t>QIC1417018.PID_PLA.SP</t>
  </si>
  <si>
    <t>Machine chest consistency valve position</t>
  </si>
  <si>
    <t>QIC1417018.PID_PLA.OP</t>
  </si>
  <si>
    <t>Thickstock pump flow</t>
  </si>
  <si>
    <t>FIC1417005.DACA.PV</t>
  </si>
  <si>
    <t>Thickstock pump flow set point</t>
  </si>
  <si>
    <t>FIC1417005.PID_PLA.SP</t>
  </si>
  <si>
    <t>Thick stock pump flow COV</t>
  </si>
  <si>
    <t>Thickstock consistency</t>
  </si>
  <si>
    <t>Thickstock consistency COV</t>
  </si>
  <si>
    <t>Thickstock pump output/speed</t>
  </si>
  <si>
    <t>Thickstock pump pressure</t>
  </si>
  <si>
    <t>PIC1417004.DACA.PV</t>
  </si>
  <si>
    <t>Thick stock mass flow</t>
  </si>
  <si>
    <t>Reeler ODW</t>
  </si>
  <si>
    <t>Reeler ODW COV</t>
  </si>
  <si>
    <t>Wire silo level</t>
  </si>
  <si>
    <t>LIC1417055.DACA.PV</t>
  </si>
  <si>
    <t>Wire silo level SP</t>
  </si>
  <si>
    <t>LIC1417055.PID_PLA.SP</t>
  </si>
  <si>
    <t>Wire silo freshwater make up valve position</t>
  </si>
  <si>
    <t>LIC1417055.PID_PLA_OP</t>
  </si>
  <si>
    <t>Wire solo temperature ( HB TEMP)</t>
  </si>
  <si>
    <t>TI_PASTA_BL</t>
  </si>
  <si>
    <t>Wire silo overflow level</t>
  </si>
  <si>
    <t>Wire silo overflow level (valve pos.)</t>
  </si>
  <si>
    <t>WW silo pH</t>
  </si>
  <si>
    <t>Fan pump speed</t>
  </si>
  <si>
    <t>Fan pump speed torque</t>
  </si>
  <si>
    <t>Cleaners</t>
  </si>
  <si>
    <t>1st stage 1/2 inlet pressure</t>
  </si>
  <si>
    <t>on wedge</t>
  </si>
  <si>
    <t>1st stage 1/2 accept pressure</t>
  </si>
  <si>
    <t>1st stage 1/2 reject pressure</t>
  </si>
  <si>
    <t>1st stage 1/2 differential pressure</t>
  </si>
  <si>
    <t>1st stage 1/2 flushing water pressure</t>
  </si>
  <si>
    <t>1st stage 1/2 flushing water flow</t>
  </si>
  <si>
    <t>1st stage 2/2 inlet pressure</t>
  </si>
  <si>
    <t>1st stage 2/2 accept pressure</t>
  </si>
  <si>
    <t>1st stage 2/2 reject pressure</t>
  </si>
  <si>
    <t>1st stage 2/2 differential pressure</t>
  </si>
  <si>
    <t>1st stage 2/2 flushing water pressure</t>
  </si>
  <si>
    <t>1st stage 2/2 flushing water flow</t>
  </si>
  <si>
    <t>2nd stage inlet pressure</t>
  </si>
  <si>
    <t>2nd stage accept pressure</t>
  </si>
  <si>
    <t>2nd stage reject pressure</t>
  </si>
  <si>
    <t>2nd stage differential pressure</t>
  </si>
  <si>
    <t>2nd stage flushing water pressure</t>
  </si>
  <si>
    <t>2nd stage flushing water flow</t>
  </si>
  <si>
    <t>3rd stage inlet pressure</t>
  </si>
  <si>
    <t>3rd stage accept pressure</t>
  </si>
  <si>
    <t>3rd stage reject pressure</t>
  </si>
  <si>
    <t>3rd stage differential pressure</t>
  </si>
  <si>
    <t>3rd stage flushing water pressure</t>
  </si>
  <si>
    <t>3rd stage flushing water flow</t>
  </si>
  <si>
    <t>4th stage inlet pressure</t>
  </si>
  <si>
    <t>4th stage accept pressure</t>
  </si>
  <si>
    <t>4th stage reject pressure</t>
  </si>
  <si>
    <t>4th stage differential pressure</t>
  </si>
  <si>
    <t>4th stage flushing water pressure</t>
  </si>
  <si>
    <t>4th stage flushing water flow</t>
  </si>
  <si>
    <t>Screening</t>
  </si>
  <si>
    <t>1st stage inlet pressure</t>
  </si>
  <si>
    <t>1st stage accept pressire</t>
  </si>
  <si>
    <t>1st stage differential pressure</t>
  </si>
  <si>
    <t>1st stage reject flow</t>
  </si>
  <si>
    <t>2nd stage accepts pressure</t>
  </si>
  <si>
    <t>2nd stage accepts flow</t>
  </si>
  <si>
    <t>2nd stage reject flow</t>
  </si>
  <si>
    <t>Standpipe 1 level</t>
  </si>
  <si>
    <t>3rd stage accepts pressure</t>
  </si>
  <si>
    <t>3rd stage accepts flow</t>
  </si>
  <si>
    <t>3rd stage rejects flow</t>
  </si>
  <si>
    <t>Standpipe 2 level</t>
  </si>
  <si>
    <t>Reject tank levels</t>
  </si>
  <si>
    <t>Screen current</t>
  </si>
  <si>
    <t>Headbox consitency</t>
  </si>
  <si>
    <t>Heabox level</t>
  </si>
  <si>
    <t>LIC103A04N.DACA.PV</t>
  </si>
  <si>
    <t>Heabox level set point</t>
  </si>
  <si>
    <t>LIC103A04N.PID_PLA.SP</t>
  </si>
  <si>
    <t>Heabox level output</t>
  </si>
  <si>
    <t>LIC103A04N.PID_PLA.OP</t>
  </si>
  <si>
    <t>Headbox feed pump speed</t>
  </si>
  <si>
    <t>Headbox feed pump torque</t>
  </si>
  <si>
    <t>Headbox pressure FS</t>
  </si>
  <si>
    <t>Headbox pressure BS</t>
  </si>
  <si>
    <t>Headbox pressure difference front to back (can be calculated on wedge)</t>
  </si>
  <si>
    <t>Headbox recirculation flow</t>
  </si>
  <si>
    <t>Headbox recirculation flow valve position</t>
  </si>
  <si>
    <t>HIC1417079.SP_VALUE.PV</t>
  </si>
  <si>
    <t>Headboc air supply pressure</t>
  </si>
  <si>
    <t>PQ103A06N.DACA.PV</t>
  </si>
  <si>
    <t>Headbox air supply pressure valve positon</t>
  </si>
  <si>
    <t>LCV103A09N.AUTOMANA.OP</t>
  </si>
  <si>
    <t>Headbox exhaust air valve position</t>
  </si>
  <si>
    <t>LCV103A04N.AUTOMANA.OP</t>
  </si>
  <si>
    <t>Headbox dilution header pressure</t>
  </si>
  <si>
    <t>Headbox stock header pressure</t>
  </si>
  <si>
    <t>Headbox headers delta pressure</t>
  </si>
  <si>
    <t>Headbox dilution pressure control output</t>
  </si>
  <si>
    <t>Headbox dilution (%)</t>
  </si>
  <si>
    <t>Headbox dilution flow</t>
  </si>
  <si>
    <t>Headbox dilution recirculation valve position</t>
  </si>
  <si>
    <t>Headbox dilution recirculation flow</t>
  </si>
  <si>
    <t>Headbox temperature</t>
  </si>
  <si>
    <t>White water temperature</t>
  </si>
  <si>
    <t>Headbox and white water temperature delta</t>
  </si>
  <si>
    <t>Bottom wire tension measured value</t>
  </si>
  <si>
    <t>Bottom wire tension set point</t>
  </si>
  <si>
    <t>Edge squirt pressure</t>
  </si>
  <si>
    <t>PIC1467026.DACA.PV</t>
  </si>
  <si>
    <t>Edge squirt pressure set point</t>
  </si>
  <si>
    <t>Edge squirt pressure output</t>
  </si>
  <si>
    <t>Edge squirt position FS</t>
  </si>
  <si>
    <t>Edge squirt position BS</t>
  </si>
  <si>
    <t>Bottom wire HP shower pressure</t>
  </si>
  <si>
    <t>Bottom wire HP shower pressure set point</t>
  </si>
  <si>
    <t xml:space="preserve">Bottom wire HP shower pressure output  </t>
  </si>
  <si>
    <t>Forming section exhaust fans power consumption</t>
  </si>
  <si>
    <t>WE blowing fan temperature</t>
  </si>
  <si>
    <t>WE blowing fan temperature - output</t>
  </si>
  <si>
    <t>WE blowing fan power consumption</t>
  </si>
  <si>
    <t>Wire drive relative electrical consumption (kWH/100-m/min/m-width)</t>
  </si>
  <si>
    <t>Calculated</t>
  </si>
  <si>
    <t>Total wire vacuum (can be calculated on Wedge)</t>
  </si>
  <si>
    <t>low vacuum 1</t>
  </si>
  <si>
    <t>low vacuum 1 set point</t>
  </si>
  <si>
    <t>low vacuum 1 valve position</t>
  </si>
  <si>
    <t>low vacuum 2</t>
  </si>
  <si>
    <t>low vacuum 2 set point</t>
  </si>
  <si>
    <t>low vacuum 2 valve position</t>
  </si>
  <si>
    <t>low vacuum 3</t>
  </si>
  <si>
    <t>low vacuum 3 set point</t>
  </si>
  <si>
    <t>low vacuum 3 valve position</t>
  </si>
  <si>
    <t>low vacuum 4</t>
  </si>
  <si>
    <t>low vacuum 4 set point</t>
  </si>
  <si>
    <t>low vacuum 4 valve position</t>
  </si>
  <si>
    <t>High vacuum box 1</t>
  </si>
  <si>
    <t>High vacuum box 1 set point</t>
  </si>
  <si>
    <t>High vacuum box 1 valve position</t>
  </si>
  <si>
    <t>High vacuum box 2</t>
  </si>
  <si>
    <t>High vacuum box 2 set point</t>
  </si>
  <si>
    <t>High vacuum box 2 valve position</t>
  </si>
  <si>
    <t>High vacuum box 3</t>
  </si>
  <si>
    <t>High vacuum box 3 set point</t>
  </si>
  <si>
    <t>High vacuum box 3 valve position</t>
  </si>
  <si>
    <t>Couch low vacuum</t>
  </si>
  <si>
    <t>Couch low vacuum set point</t>
  </si>
  <si>
    <t>Couch low vacuum output</t>
  </si>
  <si>
    <t>Couch high vacuum</t>
  </si>
  <si>
    <t>Couch high vacuum set point</t>
  </si>
  <si>
    <t>Couch high vacuum output</t>
  </si>
  <si>
    <t>Dryness after press</t>
  </si>
  <si>
    <t>Draw wire to press</t>
  </si>
  <si>
    <t>Draw press to shoe press</t>
  </si>
  <si>
    <t>Pick-up felt tension</t>
  </si>
  <si>
    <t>1st press felt tension</t>
  </si>
  <si>
    <t>shoe press felt tension</t>
  </si>
  <si>
    <t>1st press linear load Average</t>
  </si>
  <si>
    <t>1st press linear load FS</t>
  </si>
  <si>
    <t>1st press linear load FS set point</t>
  </si>
  <si>
    <t>1st press linear load BS</t>
  </si>
  <si>
    <t>1st press linear load BS set point</t>
  </si>
  <si>
    <t xml:space="preserve">1st press load pressure FS </t>
  </si>
  <si>
    <t>1st press load pressure FS set point</t>
  </si>
  <si>
    <t>1st press load pressure FS output</t>
  </si>
  <si>
    <t xml:space="preserve">1st press load pressure BS </t>
  </si>
  <si>
    <t>1st press load pressure BS set point</t>
  </si>
  <si>
    <t>1st press load pressure BS output</t>
  </si>
  <si>
    <t>2nd press linear load Average</t>
  </si>
  <si>
    <t>2nd  press linear load FS</t>
  </si>
  <si>
    <t>2nd  press linear load FS set point</t>
  </si>
  <si>
    <t>2nd  press linear load BS</t>
  </si>
  <si>
    <t>2nd  press linear load BS set point</t>
  </si>
  <si>
    <t xml:space="preserve">2nd press load pressure FS </t>
  </si>
  <si>
    <t>2nd press load pressure FS set point</t>
  </si>
  <si>
    <t>2nd press load pressure FS output</t>
  </si>
  <si>
    <t xml:space="preserve">2nd press load pressure BS </t>
  </si>
  <si>
    <t>2nd press load pressure BS set point</t>
  </si>
  <si>
    <t>2nd press load pressure BS output</t>
  </si>
  <si>
    <t>3rd press linear load</t>
  </si>
  <si>
    <t>3rd press linear load Set point</t>
  </si>
  <si>
    <t>3rd press load pressure</t>
  </si>
  <si>
    <t>Pick up felt HP shower pressure</t>
  </si>
  <si>
    <t>1st press felt HP shower pressure</t>
  </si>
  <si>
    <t>Shoe press felt HP pressure</t>
  </si>
  <si>
    <t>1st press uhle box vacuum</t>
  </si>
  <si>
    <t>PIC1457115.DACA.PV</t>
  </si>
  <si>
    <t>1st press uhle box vacuum set point</t>
  </si>
  <si>
    <t>PIC1457115.PID_PLA.SP</t>
  </si>
  <si>
    <t>1st press uhle box vacuum output</t>
  </si>
  <si>
    <t>PIC1457115.PID_PLA.OP</t>
  </si>
  <si>
    <t>Shoe press uhle box vacuum</t>
  </si>
  <si>
    <t>PIC1457116.DACA.PV</t>
  </si>
  <si>
    <t>Shoe press uhle box vacuum set point</t>
  </si>
  <si>
    <t>PIC1457116.PID_PLA.SP</t>
  </si>
  <si>
    <t>Shoe press uhle box vacuum output</t>
  </si>
  <si>
    <t>PIC1457116.PID_PLA.OP</t>
  </si>
  <si>
    <t>Pick up roll vacuum</t>
  </si>
  <si>
    <t>Pick up roll vacuum set point</t>
  </si>
  <si>
    <t>Pick up roll vacuum output</t>
  </si>
  <si>
    <t>Pick up roll VHP shower valve position</t>
  </si>
  <si>
    <t>Press suction roll high vacuum</t>
  </si>
  <si>
    <t>Press suction roll high vacuum set point</t>
  </si>
  <si>
    <t>Press suction roll high vacuum output</t>
  </si>
  <si>
    <t>Press suction roll low vacuum</t>
  </si>
  <si>
    <t>Press suction roll low vacuum set point</t>
  </si>
  <si>
    <t>Press suction roll low vacuum vacuum</t>
  </si>
  <si>
    <t>Press suction roll VHP shower valve position</t>
  </si>
  <si>
    <t>Bottom press roll VHP shower valve position</t>
  </si>
  <si>
    <t>Total press felts vacuum</t>
  </si>
  <si>
    <t>Total press section dewatering</t>
  </si>
  <si>
    <t>1st press felt uhle box flow</t>
  </si>
  <si>
    <t>Bottom press saveall flow</t>
  </si>
  <si>
    <t>Total bottom press felt removal (l/s)</t>
  </si>
  <si>
    <t>Total bottom press felt removal (%)</t>
  </si>
  <si>
    <t>Pickup felt uhle box flow</t>
  </si>
  <si>
    <t>Press suction roll saveall flow</t>
  </si>
  <si>
    <t>Total pick-up press felt removal (l/s)</t>
  </si>
  <si>
    <t>Total pick-up press felt removal (%)</t>
  </si>
  <si>
    <t>shoe press felt uhle box flow</t>
  </si>
  <si>
    <t>shoe press saveall flow</t>
  </si>
  <si>
    <t>Total shoe press felt removal (l/s)</t>
  </si>
  <si>
    <t>Total shoe press felt removal (%)</t>
  </si>
  <si>
    <t>Doctor loading pressures</t>
  </si>
  <si>
    <t>Center roll doctor load</t>
  </si>
  <si>
    <t>Shoe press roll doctor load</t>
  </si>
  <si>
    <t>Press drive electrical consumption (kWh/100 m/min/m-width)</t>
  </si>
  <si>
    <t>Individual press drives torques</t>
  </si>
  <si>
    <t>1st dryer felt tension</t>
  </si>
  <si>
    <t>2nd top dryer felt tension</t>
  </si>
  <si>
    <t>2nd bottom dryer felt tension</t>
  </si>
  <si>
    <t>3rd top dryer felt tension</t>
  </si>
  <si>
    <t>3rd bottom dryer felt tension</t>
  </si>
  <si>
    <t>4th top dryer felt tension</t>
  </si>
  <si>
    <t>4th bottom dryer fetl tension</t>
  </si>
  <si>
    <t>5th top dryer felt tension</t>
  </si>
  <si>
    <t>5th bottom dryer felt tension</t>
  </si>
  <si>
    <t>6th top dryer felt tension</t>
  </si>
  <si>
    <t>6th bottom dryer felt tension</t>
  </si>
  <si>
    <t>Doctor loading pressure</t>
  </si>
  <si>
    <t>Fabric cleaner pressure</t>
  </si>
  <si>
    <t>Fabric cleaner head vacuum</t>
  </si>
  <si>
    <t>Fabric cleaner beam 1 position slalom</t>
  </si>
  <si>
    <t>Fabric cleaner beam 2 position</t>
  </si>
  <si>
    <t xml:space="preserve">Web stabiliser Compressor no.1 pressure </t>
  </si>
  <si>
    <t>Web stabiliser Compressor no.1 pressure set point</t>
  </si>
  <si>
    <t>Web stabiliser Compresor no.1 pressure output</t>
  </si>
  <si>
    <t xml:space="preserve">Web stabiliser Compressor no.1 pressure outlet temperature </t>
  </si>
  <si>
    <t xml:space="preserve">Web stabiliser Compressor no.2 pressure </t>
  </si>
  <si>
    <t>Web stabiliser Compressor no.2 pressure set point</t>
  </si>
  <si>
    <t>Web stabiliser Compresor no.2 pressure output</t>
  </si>
  <si>
    <t>Web stabiliser Compresor no.2 pressure outlet temperature</t>
  </si>
  <si>
    <t>Web stabiliser Compressor temperature set point</t>
  </si>
  <si>
    <t>Web stabiliser Compressor temperature output</t>
  </si>
  <si>
    <t>Web staniliser box 1 FS vacuum pressure</t>
  </si>
  <si>
    <t>Web staniliser box 1 BS vacuum pressure</t>
  </si>
  <si>
    <t>Web staniliser box 2 FS vacuum pressure</t>
  </si>
  <si>
    <t>Web staniliser box 2 BS vacuum pressure</t>
  </si>
  <si>
    <t>Web staniliser box 3 FS vacuum pressure</t>
  </si>
  <si>
    <t>Web staniliser box 3 BS vacuum pressure</t>
  </si>
  <si>
    <t>Web staniliser box 4 FS vacuum pressure</t>
  </si>
  <si>
    <t>Web staniliser box 4 BS vacuum pressure</t>
  </si>
  <si>
    <t>Web staniliser box 5 FS vacuum pressure</t>
  </si>
  <si>
    <t>Web staniliser box 5 BS vacuum pressure</t>
  </si>
  <si>
    <t>Web staniliser box 6 FS vacuum pressure</t>
  </si>
  <si>
    <t>Web staniliser box 6 BS vacuum pressure</t>
  </si>
  <si>
    <t>1st section vacuum fan speed</t>
  </si>
  <si>
    <t>Passivation chemical flow beam 1</t>
  </si>
  <si>
    <t>Passivation chemical relative dosage beam 1</t>
  </si>
  <si>
    <t>Passivation beam 1 nozzle position</t>
  </si>
  <si>
    <t>Passivation chemical flow beam 2</t>
  </si>
  <si>
    <t>Passivation chemical relative dosage beam 2</t>
  </si>
  <si>
    <t>Passivation beam 2 nozzle position</t>
  </si>
  <si>
    <t>Hood exhaust air moisture 1 - SP</t>
  </si>
  <si>
    <t>Hood exhaust air moisture 1 - MV</t>
  </si>
  <si>
    <t>Hood exhaust air moisture 2 - SP</t>
  </si>
  <si>
    <t>Hood exhaust air moisture 2 - MV</t>
  </si>
  <si>
    <t>Hood balance (%)</t>
  </si>
  <si>
    <t>Pocket ventilator temperature blown - MV</t>
  </si>
  <si>
    <t>Pocket ventilator temperature blown - out</t>
  </si>
  <si>
    <t>Nip load</t>
  </si>
  <si>
    <t>Nip pressure FS</t>
  </si>
  <si>
    <t>Nip pressure BS</t>
  </si>
  <si>
    <t>Nip balance (delta)</t>
  </si>
  <si>
    <t>Sizer roll temperature</t>
  </si>
  <si>
    <t>Bottom rod loading pressure</t>
  </si>
  <si>
    <t>Bottom rod ml/m2</t>
  </si>
  <si>
    <t>Bottom beam starch concentration (MV or SP) in %</t>
  </si>
  <si>
    <t>Bottom roll starch application (g/m2)</t>
  </si>
  <si>
    <t>Bottom roll starch application (%)</t>
  </si>
  <si>
    <t>Starch flow to bottom head</t>
  </si>
  <si>
    <t>Bottom head return flow</t>
  </si>
  <si>
    <t>Bottom head back pressure</t>
  </si>
  <si>
    <t>Bottom head back pressure valve position</t>
  </si>
  <si>
    <t>Top rod loading pressure</t>
  </si>
  <si>
    <t>Top rod ml/m2</t>
  </si>
  <si>
    <t>Top beam starch concentration (MV or SP) in %</t>
  </si>
  <si>
    <t>Top roll starch application (g/m2)</t>
  </si>
  <si>
    <t>Top roll starch application (%)</t>
  </si>
  <si>
    <t>Starch flow to top head</t>
  </si>
  <si>
    <t>Top head return flow</t>
  </si>
  <si>
    <t>Top head back pressure</t>
  </si>
  <si>
    <t>Top head back pressure valve position</t>
  </si>
  <si>
    <t>Total application in ml/m2</t>
  </si>
  <si>
    <t>Size press moisture MV</t>
  </si>
  <si>
    <t>Web tension after sizer</t>
  </si>
  <si>
    <t>Reel web tension</t>
  </si>
  <si>
    <t>Reel drum draw</t>
  </si>
  <si>
    <t>Drum doctor loading</t>
  </si>
  <si>
    <t>Secondary arm loading DS</t>
  </si>
  <si>
    <t>Secondary arm loading DS set point</t>
  </si>
  <si>
    <t>Secondary arm loading DS output</t>
  </si>
  <si>
    <t>Secondary arm loading BS</t>
  </si>
  <si>
    <t>Secondary arm loading BS set point</t>
  </si>
  <si>
    <t>Secondary arm loading BS output</t>
  </si>
  <si>
    <t>Turn up system?</t>
  </si>
  <si>
    <t>wire to press draw</t>
  </si>
  <si>
    <t>press to shoe press draw</t>
  </si>
  <si>
    <t>shoe press to 1st dryer draw</t>
  </si>
  <si>
    <t>1st dryer to 2nd dryer draw</t>
  </si>
  <si>
    <t>2nd dryer top to bottom draw</t>
  </si>
  <si>
    <t>2nd dryer to 3rd dryer draw</t>
  </si>
  <si>
    <t>3rd dryer top to bottom draw</t>
  </si>
  <si>
    <t>3rd dryer to 4th dryer draw</t>
  </si>
  <si>
    <t>4th dryer top to bottom draw</t>
  </si>
  <si>
    <t>4th dryer to sizer draw</t>
  </si>
  <si>
    <t>Sizer  tension (before)</t>
  </si>
  <si>
    <t>Sizer tension (after)</t>
  </si>
  <si>
    <t>sizer to 5th dryer draw</t>
  </si>
  <si>
    <t>5th dryer top to bottom draw</t>
  </si>
  <si>
    <t>5th dryer to 6th dryer draw</t>
  </si>
  <si>
    <t>6th dryer top to bottom draw</t>
  </si>
  <si>
    <t>6th dryer group to reel draw</t>
  </si>
  <si>
    <t>Couch speed</t>
  </si>
  <si>
    <t>Forming section speed</t>
  </si>
  <si>
    <t>Couch drive load</t>
  </si>
  <si>
    <t>Forward drive speed</t>
  </si>
  <si>
    <t>Forward drive load</t>
  </si>
  <si>
    <t>Pickup roll speed</t>
  </si>
  <si>
    <t>Pickup roll drive load</t>
  </si>
  <si>
    <t>1st press speed</t>
  </si>
  <si>
    <t>1st press drive load</t>
  </si>
  <si>
    <t>3rd press speed</t>
  </si>
  <si>
    <t>3rd press drive load</t>
  </si>
  <si>
    <t>1st dryers speed</t>
  </si>
  <si>
    <t>1st dryers drive load</t>
  </si>
  <si>
    <t>2nd dryers speed</t>
  </si>
  <si>
    <t>2nd dryers drive load</t>
  </si>
  <si>
    <t>3rd dryers speed</t>
  </si>
  <si>
    <t>3rd dryers drive load</t>
  </si>
  <si>
    <t>4th dryers speed</t>
  </si>
  <si>
    <t>4th dryers drive load</t>
  </si>
  <si>
    <t>Size press speed</t>
  </si>
  <si>
    <t>Size press drive load</t>
  </si>
  <si>
    <t>5th dryers speed</t>
  </si>
  <si>
    <t>5th dryers drive load</t>
  </si>
  <si>
    <t>6th dryers speed</t>
  </si>
  <si>
    <t>6th dryers drive load</t>
  </si>
  <si>
    <t>Reel drum speed</t>
  </si>
  <si>
    <t>Reel drum drive load</t>
  </si>
  <si>
    <t>Comments</t>
  </si>
  <si>
    <t>Relative real power consumption</t>
  </si>
  <si>
    <t>No possible, no condensate power back</t>
  </si>
  <si>
    <t>Total steam consumption - Power Plant transmitter</t>
  </si>
  <si>
    <t>PowerPlant not in PhD</t>
  </si>
  <si>
    <t>Total steam consumption - PM transmitter</t>
  </si>
  <si>
    <t>PowerPlant - PM transmitter balance</t>
  </si>
  <si>
    <t>Delta between both transmitters to evaluate callibration and/or detect leaks</t>
  </si>
  <si>
    <t>Main steam line steam pressure</t>
  </si>
  <si>
    <t>PI402</t>
  </si>
  <si>
    <t>Main steam line steam temperature</t>
  </si>
  <si>
    <t>TI411</t>
  </si>
  <si>
    <t>Condensate back to PowerPlant relative power</t>
  </si>
  <si>
    <t>Not possible, not measurement. Should be power divided by gross prod.</t>
  </si>
  <si>
    <t>Condensate back to PowerPlant power</t>
  </si>
  <si>
    <t>At Power Plant</t>
  </si>
  <si>
    <t>Condensate back to PowerPlant flow</t>
  </si>
  <si>
    <t>Codensate back to PowerPlant temperature</t>
  </si>
  <si>
    <t>TI311</t>
  </si>
  <si>
    <t>Not measuring on DCS</t>
  </si>
  <si>
    <t>Relative PD steam consumption</t>
  </si>
  <si>
    <t>As per PwP recommendations. To be improved when scanner will be in</t>
  </si>
  <si>
    <t>PD steam consumption</t>
  </si>
  <si>
    <t>No flow transmitter. FI411 minus all.</t>
  </si>
  <si>
    <t>AD steam consumption</t>
  </si>
  <si>
    <t>FI514</t>
  </si>
  <si>
    <t>In Wedge indicating kg/h but in reality it is tons/h. Needs to be modified in PhD</t>
  </si>
  <si>
    <t>Auxiliary consumption</t>
  </si>
  <si>
    <t>FI513</t>
  </si>
  <si>
    <t>Steam to stock preparation</t>
  </si>
  <si>
    <t>As per Auxiliary consumption</t>
  </si>
  <si>
    <t>Steam to WW</t>
  </si>
  <si>
    <t>No line to heat it</t>
  </si>
  <si>
    <t>Steam to Warm Water</t>
  </si>
  <si>
    <t>Steam to steambox</t>
  </si>
  <si>
    <t>No steambox</t>
  </si>
  <si>
    <t>Hood ventilation steam consumption</t>
  </si>
  <si>
    <t>F1512</t>
  </si>
  <si>
    <t>Steam to heat exchangers</t>
  </si>
  <si>
    <t>Steam to machine hall</t>
  </si>
  <si>
    <t>FI511</t>
  </si>
  <si>
    <t>Steam to starch preparation</t>
  </si>
  <si>
    <t>Pressure</t>
  </si>
  <si>
    <t>Main steam line pressure</t>
  </si>
  <si>
    <t>Repeated</t>
  </si>
  <si>
    <t>Aerothermic main line pressure</t>
  </si>
  <si>
    <t>Header pressure before pressure control valve</t>
  </si>
  <si>
    <t>Header pressure after pressure control valve</t>
  </si>
  <si>
    <t>Cylinder 1 pressure</t>
  </si>
  <si>
    <t>Cylinder 1 pressure set point</t>
  </si>
  <si>
    <t>Cylinder 1 pressure output</t>
  </si>
  <si>
    <t>Cylinder 2 pressure</t>
  </si>
  <si>
    <t>Cylinder 2 pressure set point</t>
  </si>
  <si>
    <t>Cylinder 2 pressure output</t>
  </si>
  <si>
    <t>Cylinder 3 pressure</t>
  </si>
  <si>
    <t>Cylinder 3-5 pressure</t>
  </si>
  <si>
    <t>Cylinder 3-5 pressure set point</t>
  </si>
  <si>
    <t>Cylinder 3-5 pressure output</t>
  </si>
  <si>
    <t>Cylinder 7 pressure</t>
  </si>
  <si>
    <t>Cylinder 7 pressure set point</t>
  </si>
  <si>
    <t>Cylinder 7 pressure output</t>
  </si>
  <si>
    <t>Cylinder 6-8 pressure</t>
  </si>
  <si>
    <t>Cylinder 6-8 pressure set point</t>
  </si>
  <si>
    <t>Cylinder 6-8 pressure output</t>
  </si>
  <si>
    <t>Cylinder 9-12 pressure</t>
  </si>
  <si>
    <t>Cylinder 9-12 pressure set point</t>
  </si>
  <si>
    <t>Cylinder 9-12 pressure output</t>
  </si>
  <si>
    <t>Cylinder 13-19 pressure</t>
  </si>
  <si>
    <t>Cylinder 13-19 pressure set point</t>
  </si>
  <si>
    <t>Cylinder 13-19 pressure output</t>
  </si>
  <si>
    <t>Cylinder 20-28 pressure</t>
  </si>
  <si>
    <t>Cylinder 20-28 pressure set point</t>
  </si>
  <si>
    <t>Cylinder 20-28 pressure output</t>
  </si>
  <si>
    <t>Cylinder 29 pressure</t>
  </si>
  <si>
    <t>Cylinder 29 pressure set point</t>
  </si>
  <si>
    <t>Cylinder 29 pressure output</t>
  </si>
  <si>
    <t>Cylinder 30 pressure</t>
  </si>
  <si>
    <t>Cylinder 30 pressure set point</t>
  </si>
  <si>
    <t>Cylinder 30 pressure output</t>
  </si>
  <si>
    <t>Cylinder 34, 36, 38 pressure</t>
  </si>
  <si>
    <t>Cylinder 34, 36, 38 pressure set point</t>
  </si>
  <si>
    <t>Cylinder 34, 36, 38 pressure output</t>
  </si>
  <si>
    <t>Cylinder 33, 35, 37, 39 pressure</t>
  </si>
  <si>
    <t>Cylinder 33, 35, 37, 39 pressure set point</t>
  </si>
  <si>
    <t>Cylinder 33, 35, 37, 39 pressure output</t>
  </si>
  <si>
    <t>Differential pressures</t>
  </si>
  <si>
    <t>Cylinder 1 DP</t>
  </si>
  <si>
    <t>Cylinder 1 DP set point</t>
  </si>
  <si>
    <t>Cylinder 1 DP output</t>
  </si>
  <si>
    <t>Cylinder 2 DP</t>
  </si>
  <si>
    <t>Cylinder 2 DP set point</t>
  </si>
  <si>
    <t>Cylinder 2 DP output</t>
  </si>
  <si>
    <t>Cylinder 3 DP</t>
  </si>
  <si>
    <t>Cylinder 3-5 DP</t>
  </si>
  <si>
    <t>Cylinder 3-5 DP set point</t>
  </si>
  <si>
    <t>Cylinder 3-5 DP output</t>
  </si>
  <si>
    <t>Cylinder 7 DP</t>
  </si>
  <si>
    <t>Cylinder 6-8 DP</t>
  </si>
  <si>
    <t>Cylinder 6-8 DP set point</t>
  </si>
  <si>
    <t>Cylinder 6-8 DP output</t>
  </si>
  <si>
    <t>Cylinder 9-12 DP</t>
  </si>
  <si>
    <t>Cylinder  9-12 DP set point</t>
  </si>
  <si>
    <t>Cylinder  9-12 DP output</t>
  </si>
  <si>
    <t>Cylinder 13-19 DP</t>
  </si>
  <si>
    <t>Cylinder 13-19 DP set point</t>
  </si>
  <si>
    <t>Cylinder 13-19 DP output</t>
  </si>
  <si>
    <t>Cylinder 20-28 DP</t>
  </si>
  <si>
    <t>Cylinder 20-28 DP set point</t>
  </si>
  <si>
    <t>Cylinder 20-28 DP output</t>
  </si>
  <si>
    <t>Cylinder 29 DP</t>
  </si>
  <si>
    <t>Cylinder 29 DP set point</t>
  </si>
  <si>
    <t>Cylinder 29 DP output</t>
  </si>
  <si>
    <t>Cylinder 30 DP</t>
  </si>
  <si>
    <t>Cylinder 30 DP set point</t>
  </si>
  <si>
    <t>Cylinder 30 DP output</t>
  </si>
  <si>
    <t>Cylinder 34, 36, 38 DP</t>
  </si>
  <si>
    <t>Cylinder 34, 36, 38 DP set point</t>
  </si>
  <si>
    <t>Cylinder 34, 36, 38 DP output</t>
  </si>
  <si>
    <t>Cylinder 33, 35, 37, 39 DP</t>
  </si>
  <si>
    <t>Cylinder 33, 35, 37, 39 DP set point</t>
  </si>
  <si>
    <t>Cylinder 33, 35, 37, 39 DP output</t>
  </si>
  <si>
    <t>Condensate</t>
  </si>
  <si>
    <t>Separators</t>
  </si>
  <si>
    <t>Seprator 1 level</t>
  </si>
  <si>
    <t>Seprator 1 level set point</t>
  </si>
  <si>
    <t>Seprator 1 level output</t>
  </si>
  <si>
    <t>Separator 1 condensate temperature</t>
  </si>
  <si>
    <t>Separator 1 condensate temperature output</t>
  </si>
  <si>
    <t>Seprator 2 level</t>
  </si>
  <si>
    <t>Seprator 2 level set point</t>
  </si>
  <si>
    <t>Seprator 2 level output</t>
  </si>
  <si>
    <t>Separator 2 condensate temperature</t>
  </si>
  <si>
    <t>Separator 2 condensate temperature output</t>
  </si>
  <si>
    <t>Seprator 3 level</t>
  </si>
  <si>
    <t>Seprator 3 level set point</t>
  </si>
  <si>
    <t>Seprator 3 level output</t>
  </si>
  <si>
    <t>Separator 3 condensate temperature</t>
  </si>
  <si>
    <t>Separator 3 condensate temperature output</t>
  </si>
  <si>
    <t>Seprator 4 level</t>
  </si>
  <si>
    <t>Seprator 4 level set point</t>
  </si>
  <si>
    <t>Seprator 4 level output</t>
  </si>
  <si>
    <t>Separator 4 condensate temperature</t>
  </si>
  <si>
    <t>Seprator 5 level</t>
  </si>
  <si>
    <t>Seprator 5 level set point</t>
  </si>
  <si>
    <t>Seprator 5 level output</t>
  </si>
  <si>
    <t>Separator 5 condensate temperature</t>
  </si>
  <si>
    <t>Separator 5 condensate temperature output</t>
  </si>
  <si>
    <t>Seprator 6 level</t>
  </si>
  <si>
    <t>Seprator 6 level set point</t>
  </si>
  <si>
    <t>Seprator 6 level output</t>
  </si>
  <si>
    <t>Separator 6 condensate temperature</t>
  </si>
  <si>
    <t>Separator 6 condensate temperature output</t>
  </si>
  <si>
    <t>Condensate Tank level</t>
  </si>
  <si>
    <t>Condensate Tank level set point</t>
  </si>
  <si>
    <t>Condensate Tank level output</t>
  </si>
  <si>
    <t>Condensate return flow</t>
  </si>
  <si>
    <t>Condenser cooling water flow</t>
  </si>
  <si>
    <t>Condeser cooling water inlet temperature</t>
  </si>
  <si>
    <t>Condenser cooling water outlet temperature</t>
  </si>
  <si>
    <t>Condenser cooling water outlet temperature set point</t>
  </si>
  <si>
    <t>Condenser cooling water outlet temperature output</t>
  </si>
  <si>
    <t>Vacuum separator pressure</t>
  </si>
  <si>
    <t xml:space="preserve">Vacuum seprator valve A </t>
  </si>
  <si>
    <t>Starch usage (t/h)</t>
  </si>
  <si>
    <t>Silo level</t>
  </si>
  <si>
    <t>Starch powder flow</t>
  </si>
  <si>
    <t>Starch powder flow set point</t>
  </si>
  <si>
    <t>Starch powder flow output</t>
  </si>
  <si>
    <t>Mixing water flow</t>
  </si>
  <si>
    <t>Mixing water flow set point</t>
  </si>
  <si>
    <t>Mixing water flow output</t>
  </si>
  <si>
    <t>Slurry flow</t>
  </si>
  <si>
    <t>Slurry flow set point</t>
  </si>
  <si>
    <t>Slurry flow output</t>
  </si>
  <si>
    <t>Slurry concentration</t>
  </si>
  <si>
    <t>Slurry pH</t>
  </si>
  <si>
    <t>Slurry temperature</t>
  </si>
  <si>
    <t>Enzyme flow</t>
  </si>
  <si>
    <t>Enzyme flow set point</t>
  </si>
  <si>
    <t>Enzyme flow output</t>
  </si>
  <si>
    <t>Enzyme specific consumption</t>
  </si>
  <si>
    <t>Reactor level</t>
  </si>
  <si>
    <t>Reactor level set point</t>
  </si>
  <si>
    <t>Reactor level output</t>
  </si>
  <si>
    <t>Starch steam line relative consumption</t>
  </si>
  <si>
    <t>Starch steam line consumption</t>
  </si>
  <si>
    <t>Starch steam line main header pressure</t>
  </si>
  <si>
    <t>Starch steam line main header temperature</t>
  </si>
  <si>
    <t>Reactor temprature</t>
  </si>
  <si>
    <t>Reactor temprature set point</t>
  </si>
  <si>
    <t>Reactor temprature output</t>
  </si>
  <si>
    <t>Inhibitor flow</t>
  </si>
  <si>
    <t>Inhibitor flow set point</t>
  </si>
  <si>
    <t>Inhibitor flow output</t>
  </si>
  <si>
    <t>Inhibitor temprature</t>
  </si>
  <si>
    <t>Inhibitor temprature set point</t>
  </si>
  <si>
    <t>Inhibitor temprature output</t>
  </si>
  <si>
    <t>Cooked starch storage tank level</t>
  </si>
  <si>
    <t>Cooked starch storage tank concentration</t>
  </si>
  <si>
    <t>Cooked starch storage tank viscosity</t>
  </si>
  <si>
    <t>Cooked startch storage tank pH</t>
  </si>
  <si>
    <t>Cooked starch storage tank temperature</t>
  </si>
  <si>
    <t>Starch flow to top supply tank</t>
  </si>
  <si>
    <t>Water flow to top supply tank</t>
  </si>
  <si>
    <t>Top supply tank level</t>
  </si>
  <si>
    <t>Top supply tank level set point</t>
  </si>
  <si>
    <t>Top supply tank level output</t>
  </si>
  <si>
    <t>Flow to metering unit from top supply tank - MV</t>
  </si>
  <si>
    <t>Flow to metering unit from top supply tank - out</t>
  </si>
  <si>
    <t>Starch flow to bottom supply tank</t>
  </si>
  <si>
    <t>Water flow to bottom supply tank</t>
  </si>
  <si>
    <t>Bottom supply tank level</t>
  </si>
  <si>
    <t>Bottom supply tank level set point</t>
  </si>
  <si>
    <t>Bottom supply tank level output</t>
  </si>
  <si>
    <t>Flow to metering unit from bottom supply tank - MV</t>
  </si>
  <si>
    <t>Flow to metering unit from bottom supply tank - out</t>
  </si>
  <si>
    <t>WW consistency</t>
  </si>
  <si>
    <t>Total retention</t>
  </si>
  <si>
    <t>Retention aid batching tank level</t>
  </si>
  <si>
    <t>Retention aid dosing tank level</t>
  </si>
  <si>
    <t>RETENTION AID bottom ply flow</t>
  </si>
  <si>
    <t>HB_2515P_BL</t>
  </si>
  <si>
    <t>RETENTION AID bottom ply flow - out</t>
  </si>
  <si>
    <t>Retention aid water flush flow</t>
  </si>
  <si>
    <t>Retention aid water flush relative flow</t>
  </si>
  <si>
    <t>Retention aid relative consumption l/t</t>
  </si>
  <si>
    <t>DRY STRENGHT CAT</t>
  </si>
  <si>
    <t>HERCOBOND_BL</t>
  </si>
  <si>
    <t>HERCOBOND_TL</t>
  </si>
  <si>
    <t>HB_C14</t>
  </si>
  <si>
    <t xml:space="preserve">DRY STRENGHT AN </t>
  </si>
  <si>
    <t>RETENTIE_BL</t>
  </si>
  <si>
    <t>DRY STRENGHT AN</t>
  </si>
  <si>
    <t>RETENTIE_TL</t>
  </si>
  <si>
    <t>COBB</t>
  </si>
  <si>
    <t>Sizing agent tank level</t>
  </si>
  <si>
    <t>SURFACE SIZING AGENT flow</t>
  </si>
  <si>
    <t>BP450P</t>
  </si>
  <si>
    <t>SURFACE SIZING AGENT flow - out</t>
  </si>
  <si>
    <t>Sizing agent relative consumption per flow (%)</t>
  </si>
  <si>
    <t>Sizing agent relative consumption per ton  (l/ton)</t>
  </si>
  <si>
    <t>QCS color (L)</t>
  </si>
  <si>
    <t>QCS color (a)</t>
  </si>
  <si>
    <t>QCS color (b)</t>
  </si>
  <si>
    <t>Lab color (L)</t>
  </si>
  <si>
    <t>Lab L</t>
  </si>
  <si>
    <t>Lab color (a)</t>
  </si>
  <si>
    <t>Lab a</t>
  </si>
  <si>
    <t>Lab color (b)</t>
  </si>
  <si>
    <t>Lab b</t>
  </si>
  <si>
    <t>Dye black flow</t>
  </si>
  <si>
    <t>Dye black flow - out</t>
  </si>
  <si>
    <t>Dye yellow flow</t>
  </si>
  <si>
    <t>Dye yellow flow - out</t>
  </si>
  <si>
    <t>Dye red flow</t>
  </si>
  <si>
    <t>Dye red flow - out</t>
  </si>
  <si>
    <t>Total dye flow</t>
  </si>
  <si>
    <t>Disc filter level</t>
  </si>
  <si>
    <t>LIC1447032.DACA.PV</t>
  </si>
  <si>
    <t>Disc filter level set point</t>
  </si>
  <si>
    <t>LIC1447032.PID_PLA.SP</t>
  </si>
  <si>
    <t>Disc filter level Output</t>
  </si>
  <si>
    <t>LIC1447032.PID_PLA.OP</t>
  </si>
  <si>
    <t>Disc filter rotation speed</t>
  </si>
  <si>
    <t>1448021_N.DACA.PV</t>
  </si>
  <si>
    <t>Disc filter water storage tank level( SUPER CLEAR FILTRATE)</t>
  </si>
  <si>
    <t>LIC1447042.DACA.PV</t>
  </si>
  <si>
    <t>Disc filter water storage tank levels( CLEAR FILTRATE)</t>
  </si>
  <si>
    <t>LIC1447040.DACA.PV</t>
  </si>
  <si>
    <t>Disc filter water storage tank levels( CLOUDY FILTRATE)</t>
  </si>
  <si>
    <t>LIC1447036.DACA.PV</t>
  </si>
  <si>
    <t>Disc filter shower pressures</t>
  </si>
  <si>
    <t>PI1447033.DACA.PV</t>
  </si>
  <si>
    <t>Disc filter screw dilution water flow</t>
  </si>
  <si>
    <t>FIC1417129.DACA.PV</t>
  </si>
  <si>
    <t>Disc filter recovered fibre level</t>
  </si>
  <si>
    <t>LIC1447031.DACA.PV</t>
  </si>
  <si>
    <t>Disc filter recovered fibre level set point</t>
  </si>
  <si>
    <t>LIC1447031.PID_PLA.SP</t>
  </si>
  <si>
    <t>Disc filter recovered fibre level output</t>
  </si>
  <si>
    <t>LIC1447031.PID_PLA.OP</t>
  </si>
  <si>
    <t>Disc filter recovered fibre consistency</t>
  </si>
  <si>
    <t>Disc filter recovered fibre consistency set point</t>
  </si>
  <si>
    <t>Disc filter recovered fibre consistency output</t>
  </si>
  <si>
    <t>Disc filter inlet flow</t>
  </si>
  <si>
    <t>FI1317182.DACA.PV</t>
  </si>
  <si>
    <t>Freshwater to vacuum pumps flow</t>
  </si>
  <si>
    <t>Sealing water temperature</t>
  </si>
  <si>
    <t>Sealing water pressure</t>
  </si>
  <si>
    <t>Discharge channel level</t>
  </si>
  <si>
    <t>Blower BL</t>
  </si>
  <si>
    <t>Blower TL</t>
  </si>
  <si>
    <t>Vacuum pump currents</t>
  </si>
  <si>
    <t>Vacuum pump 0 Cutes rotor currrent</t>
  </si>
  <si>
    <t>Vacuum pump 1 Garuda rotor current</t>
  </si>
  <si>
    <t>Vacuum pump 2 Garuda rotor current</t>
  </si>
  <si>
    <t>Vacuum pump 3 Nash mica rotor current</t>
  </si>
  <si>
    <t>Vacuum pump 4 Nash mica rotor current</t>
  </si>
  <si>
    <t>Vacuum pump 5 Nash mica rotor current</t>
  </si>
  <si>
    <t>Vacuum pump 6 Nash mica rotor current</t>
  </si>
  <si>
    <t>Vacuum pump 7 Nash mica rotor current</t>
  </si>
  <si>
    <t>Water to Vacuum pumps</t>
  </si>
  <si>
    <t>Water to vacuum pump 0</t>
  </si>
  <si>
    <t>Water to vacuum pump 1</t>
  </si>
  <si>
    <t>Water to vacuum pump 2</t>
  </si>
  <si>
    <t>Water to vacuum pump 3</t>
  </si>
  <si>
    <t>Water to vacuum pump 4</t>
  </si>
  <si>
    <t>Water to vacuum pump 5</t>
  </si>
  <si>
    <t>Water to vacuum pump 6</t>
  </si>
  <si>
    <t>Water to vacuum pump 7</t>
  </si>
  <si>
    <t>Vacuum pump 1 vacuum</t>
  </si>
  <si>
    <t>Vacuum pump 2 vacuum</t>
  </si>
  <si>
    <t>Vacuum pump 3 couch roll zone 1 vacuum</t>
  </si>
  <si>
    <t>Vacuum pump 3 couch roll zone 2 vacuum</t>
  </si>
  <si>
    <t>Vacuum pump 4 vacuum</t>
  </si>
  <si>
    <t>Vacuum pump 5 vacuum</t>
  </si>
  <si>
    <t>Vacuum pump 6 1st press suction holding zone vacuum</t>
  </si>
  <si>
    <t>Vacuum pump 6 shoe press bottom felt uhle box vacuum</t>
  </si>
  <si>
    <t>Vacuum pump 7 1st press bottom felt uhle box vacuum</t>
  </si>
  <si>
    <t>Vacuum pump 7 pick-up felt uhle box vacuum</t>
  </si>
  <si>
    <t>Wetend break detector</t>
  </si>
  <si>
    <t>dryend break detector</t>
  </si>
  <si>
    <t>reel drum break detector</t>
  </si>
  <si>
    <t>BREAK SIGNAL FROM PHOTOCELL/BYTE SIGNAL</t>
  </si>
  <si>
    <t>BREAK_SIGNAL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</si>
</sst>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FF99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0" fontId="0" fillId="0" borderId="1" xfId="0" applyBorder="1"/>
    <xf numFmtId="0" fontId="0" fillId="2" borderId="1" xfId="0" applyFill="1" applyBorder="1"/>
    <xf numFmtId="0" fontId="0" fillId="3" borderId="1" xfId="0" applyFill="1" applyBorder="1"/>
    <xf numFmtId="0" fontId="0" fillId="3" borderId="2" xfId="0" applyFill="1" applyBorder="1" applyAlignment="1">
      <alignment horizontal="left"/>
    </xf>
    <xf numFmtId="0" fontId="0" fillId="4" borderId="1" xfId="0" applyFill="1" applyBorder="1"/>
    <xf numFmtId="0" fontId="0" fillId="4" borderId="2" xfId="0" applyFill="1" applyBorder="1" applyAlignment="1">
      <alignment horizontal="left"/>
    </xf>
    <xf numFmtId="0" fontId="0" fillId="5" borderId="2" xfId="0" applyFill="1" applyBorder="1" applyAlignment="1">
      <alignment horizontal="left"/>
    </xf>
    <xf numFmtId="0" fontId="0" fillId="0" borderId="1" xfId="0" applyBorder="1" applyAlignment="1">
      <alignment horizontal="left"/>
    </xf>
    <xf numFmtId="0" fontId="0" fillId="3" borderId="1" xfId="0" applyFill="1" applyBorder="1" applyAlignment="1">
      <alignment horizontal="left"/>
    </xf>
    <xf numFmtId="0" fontId="1" fillId="0" borderId="1" xfId="0" applyFont="1" applyBorder="1" applyAlignment="1">
      <alignment horizontal="left"/>
    </xf>
    <xf numFmtId="0" fontId="0" fillId="0" borderId="2" xfId="0" applyBorder="1" applyAlignment="1">
      <alignment horizontal="left"/>
    </xf>
    <xf numFmtId="0" fontId="0" fillId="4" borderId="1" xfId="0" applyFill="1" applyBorder="1" applyAlignment="1">
      <alignment horizontal="left"/>
    </xf>
    <xf numFmtId="0" fontId="0" fillId="0" borderId="0" xfId="0" applyAlignment="1">
      <alignment horizontal="center"/>
    </xf>
    <xf numFmtId="9" fontId="0" fillId="0" borderId="0" xfId="1" applyFont="1"/>
    <xf numFmtId="0" fontId="1" fillId="0" borderId="2" xfId="0" applyFont="1" applyBorder="1" applyAlignment="1">
      <alignment horizontal="left"/>
    </xf>
    <xf numFmtId="0" fontId="0" fillId="0" borderId="3" xfId="0" applyBorder="1"/>
    <xf numFmtId="0" fontId="0" fillId="0" borderId="4" xfId="0" applyBorder="1"/>
    <xf numFmtId="9" fontId="0" fillId="0" borderId="5" xfId="1" applyFont="1" applyBorder="1"/>
    <xf numFmtId="0" fontId="1" fillId="0" borderId="3" xfId="0" applyFont="1" applyBorder="1"/>
    <xf numFmtId="0" fontId="1" fillId="0" borderId="4" xfId="0" applyFont="1" applyBorder="1"/>
    <xf numFmtId="9" fontId="1" fillId="0" borderId="5" xfId="1" applyFont="1" applyBorder="1"/>
    <xf numFmtId="0" fontId="0" fillId="0" borderId="5" xfId="0" applyBorder="1"/>
    <xf numFmtId="0" fontId="1" fillId="0" borderId="5" xfId="0" applyFont="1" applyBorder="1"/>
    <xf numFmtId="10" fontId="0" fillId="0" borderId="1" xfId="1" applyNumberFormat="1" applyFont="1" applyBorder="1"/>
    <xf numFmtId="0" fontId="0" fillId="0" borderId="6" xfId="0" applyBorder="1"/>
    <xf numFmtId="0" fontId="0" fillId="3" borderId="6" xfId="0" applyFill="1" applyBorder="1"/>
    <xf numFmtId="0" fontId="0" fillId="3" borderId="8" xfId="0" applyFill="1" applyBorder="1"/>
    <xf numFmtId="0" fontId="0" fillId="3" borderId="9" xfId="0" applyFill="1" applyBorder="1"/>
    <xf numFmtId="0" fontId="0" fillId="0" borderId="7" xfId="0" applyBorder="1"/>
    <xf numFmtId="0" fontId="0" fillId="0" borderId="10" xfId="0" applyBorder="1"/>
    <xf numFmtId="0" fontId="1" fillId="0" borderId="11" xfId="0" applyFont="1" applyBorder="1" applyAlignment="1">
      <alignment horizontal="left" vertical="center"/>
    </xf>
    <xf numFmtId="0" fontId="1" fillId="0" borderId="12" xfId="0" applyFont="1" applyBorder="1" applyAlignment="1">
      <alignment horizontal="center" vertical="center" wrapText="1"/>
    </xf>
    <xf numFmtId="10" fontId="1" fillId="0" borderId="12" xfId="1" applyNumberFormat="1" applyFont="1" applyBorder="1" applyAlignment="1">
      <alignment horizontal="center"/>
    </xf>
    <xf numFmtId="0" fontId="0" fillId="0" borderId="13" xfId="0" applyBorder="1"/>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1" xfId="0" applyFont="1" applyFill="1" applyBorder="1" applyAlignment="1">
      <alignment horizontal="left"/>
    </xf>
    <xf numFmtId="0" fontId="1" fillId="6" borderId="1" xfId="0" applyFont="1" applyFill="1" applyBorder="1"/>
  </cellXfs>
  <cellStyles count="2">
    <cellStyle name="Normal" xfId="0" builtinId="0"/>
    <cellStyle name="Percent" xfId="1" builtinId="5"/>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355600</xdr:colOff>
      <xdr:row>5</xdr:row>
      <xdr:rowOff>120650</xdr:rowOff>
    </xdr:from>
    <xdr:to>
      <xdr:col>11</xdr:col>
      <xdr:colOff>31750</xdr:colOff>
      <xdr:row>11</xdr:row>
      <xdr:rowOff>0</xdr:rowOff>
    </xdr:to>
    <xdr:sp macro="" textlink="">
      <xdr:nvSpPr>
        <xdr:cNvPr id="2" name="Rectángulo: esquinas redondeadas 1">
          <a:extLst>
            <a:ext uri="{FF2B5EF4-FFF2-40B4-BE49-F238E27FC236}">
              <a16:creationId xmlns:a16="http://schemas.microsoft.com/office/drawing/2014/main" id="{965CEA03-E416-C702-D996-09CFC8B1B163}"/>
            </a:ext>
          </a:extLst>
        </xdr:cNvPr>
        <xdr:cNvSpPr/>
      </xdr:nvSpPr>
      <xdr:spPr>
        <a:xfrm>
          <a:off x="8058150" y="857250"/>
          <a:ext cx="3333750" cy="168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Let's</a:t>
          </a:r>
          <a:r>
            <a:rPr lang="es-ES" sz="1100" baseline="0"/>
            <a:t> do this page together, so I can understand the diagram and then  I can see what's available</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3</xdr:row>
      <xdr:rowOff>114300</xdr:rowOff>
    </xdr:from>
    <xdr:to>
      <xdr:col>10</xdr:col>
      <xdr:colOff>190500</xdr:colOff>
      <xdr:row>11</xdr:row>
      <xdr:rowOff>0</xdr:rowOff>
    </xdr:to>
    <xdr:sp macro="" textlink="">
      <xdr:nvSpPr>
        <xdr:cNvPr id="2" name="Rectángulo: esquinas redondeadas 1">
          <a:extLst>
            <a:ext uri="{FF2B5EF4-FFF2-40B4-BE49-F238E27FC236}">
              <a16:creationId xmlns:a16="http://schemas.microsoft.com/office/drawing/2014/main" id="{E37DB3E6-BF36-43E0-92FC-99544F404BDD}"/>
            </a:ext>
          </a:extLst>
        </xdr:cNvPr>
        <xdr:cNvSpPr/>
      </xdr:nvSpPr>
      <xdr:spPr>
        <a:xfrm>
          <a:off x="7607300" y="482600"/>
          <a:ext cx="3333750" cy="168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Let's</a:t>
          </a:r>
          <a:r>
            <a:rPr lang="es-ES" sz="1100" baseline="0"/>
            <a:t> do this page together, so I can understand the diagram and then  I can see what's available</a:t>
          </a:r>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4</xdr:row>
      <xdr:rowOff>177800</xdr:rowOff>
    </xdr:from>
    <xdr:to>
      <xdr:col>11</xdr:col>
      <xdr:colOff>38100</xdr:colOff>
      <xdr:row>14</xdr:row>
      <xdr:rowOff>25400</xdr:rowOff>
    </xdr:to>
    <xdr:sp macro="" textlink="">
      <xdr:nvSpPr>
        <xdr:cNvPr id="3" name="Rectángulo: esquinas redondeadas 2">
          <a:extLst>
            <a:ext uri="{FF2B5EF4-FFF2-40B4-BE49-F238E27FC236}">
              <a16:creationId xmlns:a16="http://schemas.microsoft.com/office/drawing/2014/main" id="{8BA2E0D2-75AE-421C-A777-C6F031D5031F}"/>
            </a:ext>
          </a:extLst>
        </xdr:cNvPr>
        <xdr:cNvSpPr/>
      </xdr:nvSpPr>
      <xdr:spPr>
        <a:xfrm>
          <a:off x="8477250" y="730250"/>
          <a:ext cx="3333750" cy="168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Looks copy and paste from K6. We may have to do this together to see what's missing.</a:t>
          </a:r>
          <a:endParaRPr lang="es-ES" sz="1100" b="0" i="0" u="none" strike="noStrike">
            <a:solidFill>
              <a:schemeClr val="lt1"/>
            </a:solidFill>
            <a:effectLst/>
            <a:latin typeface="+mn-lt"/>
            <a:ea typeface="+mn-ea"/>
            <a:cs typeface="+mn-cs"/>
          </a:endParaRPr>
        </a:p>
        <a:p>
          <a:pPr algn="l"/>
          <a:r>
            <a:rPr lang="es-ES" sz="1100" b="0" i="0" u="none" strike="noStrike">
              <a:solidFill>
                <a:schemeClr val="lt1"/>
              </a:solidFill>
              <a:effectLst/>
              <a:latin typeface="+mn-lt"/>
              <a:ea typeface="+mn-ea"/>
              <a:cs typeface="+mn-cs"/>
            </a:rPr>
            <a:t>Kadant</a:t>
          </a:r>
          <a:r>
            <a:rPr lang="es-ES" sz="1100" b="0" i="0" u="none" strike="noStrike" baseline="0">
              <a:solidFill>
                <a:schemeClr val="lt1"/>
              </a:solidFill>
              <a:effectLst/>
              <a:latin typeface="+mn-lt"/>
              <a:ea typeface="+mn-ea"/>
              <a:cs typeface="+mn-cs"/>
            </a:rPr>
            <a:t> pending to be connected.</a:t>
          </a:r>
          <a:endParaRPr lang="es-E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234950</xdr:colOff>
      <xdr:row>6</xdr:row>
      <xdr:rowOff>63500</xdr:rowOff>
    </xdr:from>
    <xdr:to>
      <xdr:col>11</xdr:col>
      <xdr:colOff>190500</xdr:colOff>
      <xdr:row>14</xdr:row>
      <xdr:rowOff>88900</xdr:rowOff>
    </xdr:to>
    <xdr:sp macro="" textlink="">
      <xdr:nvSpPr>
        <xdr:cNvPr id="2" name="Rectángulo: esquinas redondeadas 1">
          <a:extLst>
            <a:ext uri="{FF2B5EF4-FFF2-40B4-BE49-F238E27FC236}">
              <a16:creationId xmlns:a16="http://schemas.microsoft.com/office/drawing/2014/main" id="{13269E19-4781-BA3B-B4F1-8CB526635ABF}"/>
            </a:ext>
          </a:extLst>
        </xdr:cNvPr>
        <xdr:cNvSpPr/>
      </xdr:nvSpPr>
      <xdr:spPr>
        <a:xfrm>
          <a:off x="7867650" y="984250"/>
          <a:ext cx="3613150" cy="1498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We will have a look to the screening</a:t>
          </a:r>
          <a:r>
            <a:rPr lang="es-ES" sz="1100" baseline="0"/>
            <a:t> system to select the right signals to follow. But not necessary for current main golden batch. Less critical.</a:t>
          </a:r>
          <a:endParaRPr lang="es-E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247650</xdr:colOff>
      <xdr:row>4</xdr:row>
      <xdr:rowOff>114300</xdr:rowOff>
    </xdr:from>
    <xdr:to>
      <xdr:col>12</xdr:col>
      <xdr:colOff>488950</xdr:colOff>
      <xdr:row>12</xdr:row>
      <xdr:rowOff>171450</xdr:rowOff>
    </xdr:to>
    <xdr:sp macro="" textlink="">
      <xdr:nvSpPr>
        <xdr:cNvPr id="2" name="Rectángulo: esquinas redondeadas 1">
          <a:extLst>
            <a:ext uri="{FF2B5EF4-FFF2-40B4-BE49-F238E27FC236}">
              <a16:creationId xmlns:a16="http://schemas.microsoft.com/office/drawing/2014/main" id="{F2B9BAC7-DA24-CFC5-D3E1-4F62F76388E9}"/>
            </a:ext>
          </a:extLst>
        </xdr:cNvPr>
        <xdr:cNvSpPr/>
      </xdr:nvSpPr>
      <xdr:spPr>
        <a:xfrm>
          <a:off x="8362950" y="666750"/>
          <a:ext cx="3289300" cy="1530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Not sure how</a:t>
          </a:r>
          <a:r>
            <a:rPr lang="es-ES" sz="1100" baseline="0"/>
            <a:t> the dry strength should be distributed as I'm not an expert. We do Golden batch and then discuss signals with Zeljko. I guess we will have to add them to the Paper Quality page as they have impact as well. I put them here as they have impact on the retention aid.</a:t>
          </a:r>
          <a:endParaRPr lang="es-E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260350</xdr:colOff>
      <xdr:row>6</xdr:row>
      <xdr:rowOff>177800</xdr:rowOff>
    </xdr:from>
    <xdr:to>
      <xdr:col>11</xdr:col>
      <xdr:colOff>495300</xdr:colOff>
      <xdr:row>17</xdr:row>
      <xdr:rowOff>133350</xdr:rowOff>
    </xdr:to>
    <xdr:sp macro="" textlink="">
      <xdr:nvSpPr>
        <xdr:cNvPr id="2" name="Rectángulo: esquinas redondeadas 1">
          <a:extLst>
            <a:ext uri="{FF2B5EF4-FFF2-40B4-BE49-F238E27FC236}">
              <a16:creationId xmlns:a16="http://schemas.microsoft.com/office/drawing/2014/main" id="{A66047C3-311F-5641-5AE8-ECEB02748561}"/>
            </a:ext>
          </a:extLst>
        </xdr:cNvPr>
        <xdr:cNvSpPr/>
      </xdr:nvSpPr>
      <xdr:spPr>
        <a:xfrm>
          <a:off x="7823200" y="1098550"/>
          <a:ext cx="3892550" cy="1981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We</a:t>
          </a:r>
          <a:r>
            <a:rPr lang="es-ES" sz="1100" baseline="0"/>
            <a:t> will need a previous one for the WW circuit to evaluate all the changes you are doing in the SP+PM water circuits. Not worthy now as you are modifying the circuit, so we can do it on the next visit in 3-4 months.</a:t>
          </a:r>
          <a:endParaRPr lang="es-E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374650</xdr:colOff>
      <xdr:row>2</xdr:row>
      <xdr:rowOff>50800</xdr:rowOff>
    </xdr:from>
    <xdr:to>
      <xdr:col>13</xdr:col>
      <xdr:colOff>247650</xdr:colOff>
      <xdr:row>14</xdr:row>
      <xdr:rowOff>50800</xdr:rowOff>
    </xdr:to>
    <xdr:sp macro="" textlink="">
      <xdr:nvSpPr>
        <xdr:cNvPr id="2" name="Rectángulo: esquinas redondeadas 1">
          <a:extLst>
            <a:ext uri="{FF2B5EF4-FFF2-40B4-BE49-F238E27FC236}">
              <a16:creationId xmlns:a16="http://schemas.microsoft.com/office/drawing/2014/main" id="{EDD3BC0A-82E5-0055-3BAA-3000E4DCA86C}"/>
            </a:ext>
          </a:extLst>
        </xdr:cNvPr>
        <xdr:cNvSpPr/>
      </xdr:nvSpPr>
      <xdr:spPr>
        <a:xfrm>
          <a:off x="7150100" y="419100"/>
          <a:ext cx="4140200" cy="2209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Agreed with Zeljko that it</a:t>
          </a:r>
          <a:r>
            <a:rPr lang="es-ES" sz="1100" baseline="0"/>
            <a:t> is n</a:t>
          </a:r>
          <a:r>
            <a:rPr lang="es-ES" sz="1100"/>
            <a:t>ot worthy to put</a:t>
          </a:r>
          <a:r>
            <a:rPr lang="es-ES" sz="1100" baseline="0"/>
            <a:t> too much effort until we have seen iterations from golden batch because with the turbo blowers it will change already.</a:t>
          </a:r>
          <a:endParaRPr lang="es-E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571500</xdr:colOff>
      <xdr:row>1</xdr:row>
      <xdr:rowOff>6350</xdr:rowOff>
    </xdr:from>
    <xdr:to>
      <xdr:col>11</xdr:col>
      <xdr:colOff>323850</xdr:colOff>
      <xdr:row>8</xdr:row>
      <xdr:rowOff>120650</xdr:rowOff>
    </xdr:to>
    <xdr:sp macro="" textlink="">
      <xdr:nvSpPr>
        <xdr:cNvPr id="2" name="Rectángulo: esquinas redondeadas 1">
          <a:extLst>
            <a:ext uri="{FF2B5EF4-FFF2-40B4-BE49-F238E27FC236}">
              <a16:creationId xmlns:a16="http://schemas.microsoft.com/office/drawing/2014/main" id="{A4FE7F19-224D-8A40-EC96-28CB4D00FD6E}"/>
            </a:ext>
          </a:extLst>
        </xdr:cNvPr>
        <xdr:cNvSpPr/>
      </xdr:nvSpPr>
      <xdr:spPr>
        <a:xfrm>
          <a:off x="6877050" y="190500"/>
          <a:ext cx="3409950" cy="1403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Not for the iterations,</a:t>
          </a:r>
          <a:r>
            <a:rPr lang="es-ES" sz="1100" baseline="0"/>
            <a:t> but OK for final daily report to detect failures of break detectors and to investigate breaks. The ones listed here are the ones as per Procemex, but in the wrap up meeting Zeljko indicated that there are more granularity. Please, add the higher granularity to PhD but also on the Procemex connection.</a:t>
          </a:r>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person displayName="Jorge Arruego" id="{5A3029CA-CC45-4E59-9AA3-281840E85641}" userId="S::Jorge.Arruego@dssmith.com::6a946727-a6ee-4dd4-a83c-1eddf8fc02b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4-06-26T08:22:38.18" personId="{5A3029CA-CC45-4E59-9AA3-281840E85641}" id="{ABB24F47-323E-40D2-9F24-7E0B607FA987}">
    <text>No Raw Data</text>
  </threadedComment>
  <threadedComment ref="B6" dT="2024-06-26T08:22:44.58" personId="{5A3029CA-CC45-4E59-9AA3-281840E85641}" id="{14697B19-ED36-4BD6-9A70-DE6C800D5CAA}" parentId="{ABB24F47-323E-40D2-9F24-7E0B607FA987}">
    <text>No raw data</text>
  </threadedComment>
  <threadedComment ref="B7" dT="2024-06-26T08:22:53.15" personId="{5A3029CA-CC45-4E59-9AA3-281840E85641}" id="{61225D8C-5456-49A8-BB26-90D58182819F}">
    <text>No raw data</text>
  </threadedComment>
  <threadedComment ref="B8" dT="2024-06-26T08:22:28.06" personId="{5A3029CA-CC45-4E59-9AA3-281840E85641}" id="{C0F7D2D2-8382-474C-A0A8-EC8A72A4C0AF}">
    <text>Better QCS raw data</text>
  </threadedComment>
  <threadedComment ref="B15" dT="2024-06-26T11:08:23.62" personId="{5A3029CA-CC45-4E59-9AA3-281840E85641}" id="{B3F9C62D-60BB-4BF1-BB7F-B5A6BD6BB892}">
    <text>No needed</text>
  </threadedComment>
  <threadedComment ref="B21" dT="2024-06-26T10:33:44.39" personId="{5A3029CA-CC45-4E59-9AA3-281840E85641}" id="{9A859196-D78A-4D88-B696-EDE976B1D474}">
    <text>Missing flow transmitters, consistency transmitters. Ideally an online consistency transmitter is the best.</text>
  </threadedComment>
  <threadedComment ref="B30" dT="2024-06-26T10:39:47.91" personId="{5A3029CA-CC45-4E59-9AA3-281840E85641}" id="{D6352981-F6CC-48F6-AFCC-9D9705D7B9D1}">
    <text>Unfortunately lab values. QCS online ones needed.</text>
  </threadedComment>
  <threadedComment ref="B31" dT="2024-06-26T10:39:47.91" personId="{5A3029CA-CC45-4E59-9AA3-281840E85641}" id="{E9FAA72C-4A55-4358-B352-E9D3ACB87A8C}">
    <text>Unfortunately lab values. QCS online ones needed.</text>
  </threadedComment>
  <threadedComment ref="B32" dT="2024-06-26T10:39:47.91" personId="{5A3029CA-CC45-4E59-9AA3-281840E85641}" id="{7FF43ECA-9B3A-4E8D-873A-19C62ECB3374}">
    <text>Unfortunately lab values. QCS online ones needed.</text>
  </threadedComment>
  <threadedComment ref="B46" dT="2024-06-26T10:58:30.02" personId="{5A3029CA-CC45-4E59-9AA3-281840E85641}" id="{962E7EC7-5E26-40D1-A663-727BD3422917}">
    <text>This is the whole consumption but we need the specific one. Included.</text>
  </threadedComment>
  <threadedComment ref="B47" dT="2024-06-26T11:04:33.91" personId="{5A3029CA-CC45-4E59-9AA3-281840E85641}" id="{BE80E3BE-F655-47B0-937F-CC1B45FC0893}">
    <text>To be done once TurboBlower project is finished.</text>
  </threadedComment>
  <threadedComment ref="B48" dT="2024-06-26T11:04:33.91" personId="{5A3029CA-CC45-4E59-9AA3-281840E85641}" id="{8EDAEA09-B9B1-4E56-BDBA-C87C49AD8838}">
    <text>To be done once TurboBlower project is finished.</text>
  </threadedComment>
  <threadedComment ref="B49" dT="2024-06-26T11:04:33.91" personId="{5A3029CA-CC45-4E59-9AA3-281840E85641}" id="{EC6BDE74-FFA5-4F21-B772-7FED9F2C11ED}">
    <text>To be done once TurboBlower project is finished.</text>
  </threadedComment>
</ThreadedComments>
</file>

<file path=xl/threadedComments/threadedComment2.xml><?xml version="1.0" encoding="utf-8"?>
<ThreadedComments xmlns="http://schemas.microsoft.com/office/spreadsheetml/2018/threadedcomments" xmlns:x="http://schemas.openxmlformats.org/spreadsheetml/2006/main">
  <threadedComment ref="B24" dT="2024-06-26T11:52:08.56" personId="{5A3029CA-CC45-4E59-9AA3-281840E85641}" id="{DB4A9892-0C91-46EB-91DE-4DA172258F5A}">
    <text>No data</text>
  </threadedComment>
  <threadedComment ref="B26" dT="2024-06-26T11:37:53.31" personId="{5A3029CA-CC45-4E59-9AA3-281840E85641}" id="{64B04D6F-B2DC-4B01-A0E5-541ADF8A6664}">
    <text>Not available</text>
  </threadedComment>
  <threadedComment ref="B29" dT="2024-06-26T11:37:53.31" personId="{5A3029CA-CC45-4E59-9AA3-281840E85641}" id="{82CCC747-321F-4EDC-87B6-B44181B5D29B}">
    <text>Not available</text>
  </threadedComment>
</ThreadedComments>
</file>

<file path=xl/threadedComments/threadedComment3.xml><?xml version="1.0" encoding="utf-8"?>
<ThreadedComments xmlns="http://schemas.microsoft.com/office/spreadsheetml/2018/threadedcomments" xmlns:x="http://schemas.openxmlformats.org/spreadsheetml/2006/main">
  <threadedComment ref="B24" dT="2024-06-27T15:37:50.08" personId="{5A3029CA-CC45-4E59-9AA3-281840E85641}" id="{DFA913A1-C587-41D8-82FF-26F5A571CABE}">
    <text>Forming section speed available (needed for the total draw), but I forgot to note the TAG</text>
  </threadedComment>
</ThreadedComments>
</file>

<file path=xl/threadedComments/threadedComment4.xml><?xml version="1.0" encoding="utf-8"?>
<ThreadedComments xmlns="http://schemas.microsoft.com/office/spreadsheetml/2018/threadedcomments" xmlns:x="http://schemas.openxmlformats.org/spreadsheetml/2006/main">
  <threadedComment ref="B9" dT="2024-06-26T10:46:52.09" personId="{5A3029CA-CC45-4E59-9AA3-281840E85641}" id="{D77090E1-F344-43B2-893E-CF0167EE46A6}">
    <text>No data. Zero always. HB_C14.DACACA.PV</text>
  </threadedComment>
</ThreadedComments>
</file>

<file path=xl/threadedComments/threadedComment5.xml><?xml version="1.0" encoding="utf-8"?>
<ThreadedComments xmlns="http://schemas.microsoft.com/office/spreadsheetml/2018/threadedcomments" xmlns:x="http://schemas.openxmlformats.org/spreadsheetml/2006/main">
  <threadedComment ref="B6" dT="2024-06-26T10:51:08.08" personId="{5A3029CA-CC45-4E59-9AA3-281840E85641}" id="{FE1A8FE4-B79F-4D44-B301-5213F4342666}">
    <text>It cannot be seen. Not existing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FE23-1DEC-415D-A31B-B5BAE7B17045}">
  <sheetPr>
    <tabColor rgb="FFFF9900"/>
  </sheetPr>
  <dimension ref="B1:F32"/>
  <sheetViews>
    <sheetView topLeftCell="A15" workbookViewId="0">
      <selection activeCell="B2" sqref="B2"/>
    </sheetView>
  </sheetViews>
  <sheetFormatPr defaultColWidth="11.453125" defaultRowHeight="14.5" x14ac:dyDescent="0.35"/>
  <cols>
    <col min="2" max="2" width="24.7265625" bestFit="1" customWidth="1"/>
    <col min="4" max="4" width="14.1796875" customWidth="1"/>
    <col min="6" max="6" width="26.1796875" bestFit="1" customWidth="1"/>
  </cols>
  <sheetData>
    <row r="1" spans="2:6" ht="15" thickBot="1" x14ac:dyDescent="0.4"/>
    <row r="2" spans="2:6" ht="29.5" thickBot="1" x14ac:dyDescent="0.4">
      <c r="B2" s="35" t="s">
        <v>0</v>
      </c>
      <c r="C2" s="36" t="s">
        <v>1</v>
      </c>
      <c r="D2" s="36" t="s">
        <v>2</v>
      </c>
      <c r="E2" s="36" t="s">
        <v>3</v>
      </c>
      <c r="F2" s="37" t="s">
        <v>4</v>
      </c>
    </row>
    <row r="3" spans="2:6" x14ac:dyDescent="0.35">
      <c r="B3" s="31" t="s">
        <v>5</v>
      </c>
      <c r="C3" s="32">
        <f>SUM(C4:C33)</f>
        <v>743</v>
      </c>
      <c r="D3" s="32">
        <f>SUM(D4:D33)</f>
        <v>144</v>
      </c>
      <c r="E3" s="33">
        <f>D3/C3</f>
        <v>0.19380888290713325</v>
      </c>
      <c r="F3" s="34"/>
    </row>
    <row r="4" spans="2:6" x14ac:dyDescent="0.35">
      <c r="B4" s="25" t="s">
        <v>6</v>
      </c>
      <c r="C4" s="1">
        <f>'Main KPIs'!$B$1</f>
        <v>47</v>
      </c>
      <c r="D4" s="1">
        <f>'Main KPIs'!$D$1</f>
        <v>18</v>
      </c>
      <c r="E4" s="24">
        <f>D4/C4</f>
        <v>0.38297872340425532</v>
      </c>
      <c r="F4" s="29"/>
    </row>
    <row r="5" spans="2:6" x14ac:dyDescent="0.35">
      <c r="B5" s="25" t="s">
        <v>7</v>
      </c>
      <c r="C5" s="1">
        <f>'Paper Quality'!$B$1</f>
        <v>38</v>
      </c>
      <c r="D5" s="1">
        <f>'Paper Quality'!$D$1</f>
        <v>20</v>
      </c>
      <c r="E5" s="24">
        <f t="shared" ref="E5:E26" si="0">D5/C5</f>
        <v>0.52631578947368418</v>
      </c>
      <c r="F5" s="29"/>
    </row>
    <row r="6" spans="2:6" x14ac:dyDescent="0.35">
      <c r="B6" s="25" t="s">
        <v>8</v>
      </c>
      <c r="C6" s="1">
        <f>'Stock prep main KPI'!$B$1</f>
        <v>25</v>
      </c>
      <c r="D6" s="1">
        <f>'Stock prep main KPI'!$D$1</f>
        <v>18</v>
      </c>
      <c r="E6" s="24">
        <f t="shared" si="0"/>
        <v>0.72</v>
      </c>
      <c r="F6" s="29"/>
    </row>
    <row r="7" spans="2:6" x14ac:dyDescent="0.35">
      <c r="B7" s="25" t="s">
        <v>9</v>
      </c>
      <c r="C7" s="1">
        <f>'Approach Flow - Thick Stock'!$B$1</f>
        <v>47</v>
      </c>
      <c r="D7" s="1">
        <f>'Approach Flow - Thick Stock'!$D$1</f>
        <v>38</v>
      </c>
      <c r="E7" s="24">
        <f t="shared" si="0"/>
        <v>0.80851063829787229</v>
      </c>
      <c r="F7" s="29"/>
    </row>
    <row r="8" spans="2:6" x14ac:dyDescent="0.35">
      <c r="B8" s="25" t="s">
        <v>10</v>
      </c>
      <c r="C8" s="1">
        <f>'Approach Flow - Thinstock'!$B$1</f>
        <v>57</v>
      </c>
      <c r="D8" s="1">
        <f>'Approach Flow - Thinstock'!$D$1</f>
        <v>4</v>
      </c>
      <c r="E8" s="24">
        <f t="shared" si="0"/>
        <v>7.0175438596491224E-2</v>
      </c>
      <c r="F8" s="29"/>
    </row>
    <row r="9" spans="2:6" x14ac:dyDescent="0.35">
      <c r="B9" s="25" t="s">
        <v>11</v>
      </c>
      <c r="C9" s="1">
        <f>Headbox!$B$1</f>
        <v>29</v>
      </c>
      <c r="D9" s="1">
        <f>Headbox!$D$1</f>
        <v>10</v>
      </c>
      <c r="E9" s="24">
        <f t="shared" si="0"/>
        <v>0.34482758620689657</v>
      </c>
      <c r="F9" s="29"/>
    </row>
    <row r="10" spans="2:6" x14ac:dyDescent="0.35">
      <c r="B10" s="25" t="s">
        <v>12</v>
      </c>
      <c r="C10" s="1">
        <f>'Forming section'!$B$1</f>
        <v>43</v>
      </c>
      <c r="D10" s="1">
        <f>'Forming section'!$D$1</f>
        <v>1</v>
      </c>
      <c r="E10" s="24">
        <f t="shared" si="0"/>
        <v>2.3255813953488372E-2</v>
      </c>
      <c r="F10" s="29"/>
    </row>
    <row r="11" spans="2:6" x14ac:dyDescent="0.35">
      <c r="B11" s="25" t="s">
        <v>13</v>
      </c>
      <c r="C11" s="1">
        <f>Press!$B$1</f>
        <v>72</v>
      </c>
      <c r="D11" s="1">
        <f>Press!$D$1</f>
        <v>6</v>
      </c>
      <c r="E11" s="24">
        <f t="shared" si="0"/>
        <v>8.3333333333333329E-2</v>
      </c>
      <c r="F11" s="29"/>
    </row>
    <row r="12" spans="2:6" x14ac:dyDescent="0.35">
      <c r="B12" s="25" t="s">
        <v>14</v>
      </c>
      <c r="C12" s="1">
        <f>'Drying section'!$B$1</f>
        <v>46</v>
      </c>
      <c r="D12" s="1">
        <f>'Drying section'!$D$1</f>
        <v>0</v>
      </c>
      <c r="E12" s="24">
        <f t="shared" si="0"/>
        <v>0</v>
      </c>
      <c r="F12" s="29"/>
    </row>
    <row r="13" spans="2:6" x14ac:dyDescent="0.35">
      <c r="B13" s="25" t="s">
        <v>15</v>
      </c>
      <c r="C13" s="1">
        <f>'Ventilation - PD'!$B$1</f>
        <v>7</v>
      </c>
      <c r="D13" s="1">
        <f>'Ventilation - PD'!$D$1</f>
        <v>0</v>
      </c>
      <c r="E13" s="24">
        <f t="shared" si="0"/>
        <v>0</v>
      </c>
      <c r="F13" s="29"/>
    </row>
    <row r="14" spans="2:6" x14ac:dyDescent="0.35">
      <c r="B14" s="25" t="s">
        <v>16</v>
      </c>
      <c r="C14" s="1">
        <f>'Ventilation - AD'!$B$1</f>
        <v>7</v>
      </c>
      <c r="D14" s="1">
        <f>'Ventilation - AD'!$D$1</f>
        <v>0</v>
      </c>
      <c r="E14" s="24">
        <f t="shared" si="0"/>
        <v>0</v>
      </c>
      <c r="F14" s="29"/>
    </row>
    <row r="15" spans="2:6" x14ac:dyDescent="0.35">
      <c r="B15" s="25" t="s">
        <v>17</v>
      </c>
      <c r="C15" s="1">
        <f>Sizer!$B$1</f>
        <v>27</v>
      </c>
      <c r="D15" s="1">
        <f>Sizer!$D$1</f>
        <v>0</v>
      </c>
      <c r="E15" s="24">
        <f t="shared" si="0"/>
        <v>0</v>
      </c>
      <c r="F15" s="29"/>
    </row>
    <row r="16" spans="2:6" x14ac:dyDescent="0.35">
      <c r="B16" s="25" t="s">
        <v>18</v>
      </c>
      <c r="C16" s="1">
        <f>'Pope Reeler'!$B$1</f>
        <v>10</v>
      </c>
      <c r="D16" s="1">
        <f>'Pope Reeler'!$D$1</f>
        <v>0</v>
      </c>
      <c r="E16" s="24">
        <f t="shared" si="0"/>
        <v>0</v>
      </c>
      <c r="F16" s="29"/>
    </row>
    <row r="17" spans="2:6" x14ac:dyDescent="0.35">
      <c r="B17" s="25" t="s">
        <v>19</v>
      </c>
      <c r="C17" s="1">
        <f>'Draws and Drives'!$B$1</f>
        <v>46</v>
      </c>
      <c r="D17" s="1">
        <f>'Draws and Drives'!$D$1</f>
        <v>3</v>
      </c>
      <c r="E17" s="24">
        <f t="shared" si="0"/>
        <v>6.5217391304347824E-2</v>
      </c>
      <c r="F17" s="29"/>
    </row>
    <row r="18" spans="2:6" x14ac:dyDescent="0.35">
      <c r="B18" s="25" t="s">
        <v>20</v>
      </c>
      <c r="C18" s="1">
        <f>'Steam consumption'!$B$1</f>
        <v>21</v>
      </c>
      <c r="D18" s="1">
        <f>'Steam consumption'!$D$1</f>
        <v>9</v>
      </c>
      <c r="E18" s="24">
        <f t="shared" si="0"/>
        <v>0.42857142857142855</v>
      </c>
      <c r="F18" s="29"/>
    </row>
    <row r="19" spans="2:6" x14ac:dyDescent="0.35">
      <c r="B19" s="25" t="s">
        <v>21</v>
      </c>
      <c r="C19" s="1">
        <f>Steam!$B$1</f>
        <v>117</v>
      </c>
      <c r="D19" s="1">
        <f>Steam!$D$1</f>
        <v>1</v>
      </c>
      <c r="E19" s="24">
        <f t="shared" si="0"/>
        <v>8.5470085470085479E-3</v>
      </c>
      <c r="F19" s="29"/>
    </row>
    <row r="20" spans="2:6" x14ac:dyDescent="0.35">
      <c r="B20" s="25" t="s">
        <v>22</v>
      </c>
      <c r="C20" s="1">
        <f>Starch!$B$1</f>
        <v>53</v>
      </c>
      <c r="D20" s="1">
        <f>Starch!$D$1</f>
        <v>0</v>
      </c>
      <c r="E20" s="24">
        <f t="shared" si="0"/>
        <v>0</v>
      </c>
      <c r="F20" s="29"/>
    </row>
    <row r="21" spans="2:6" x14ac:dyDescent="0.35">
      <c r="B21" s="25" t="s">
        <v>23</v>
      </c>
      <c r="C21" s="1">
        <f>'Chemicals - ret. aid'!$B$1</f>
        <v>15</v>
      </c>
      <c r="D21" s="1">
        <f>'Chemicals - ret. aid'!$D$1</f>
        <v>0</v>
      </c>
      <c r="E21" s="24">
        <f t="shared" si="0"/>
        <v>0</v>
      </c>
      <c r="F21" s="29"/>
    </row>
    <row r="22" spans="2:6" x14ac:dyDescent="0.35">
      <c r="B22" s="25" t="s">
        <v>24</v>
      </c>
      <c r="C22" s="1">
        <f>'Chemicals - size'!$B$1</f>
        <v>6</v>
      </c>
      <c r="D22" s="1">
        <f>'Chemicals - size'!$D$1</f>
        <v>0</v>
      </c>
      <c r="E22" s="24">
        <f t="shared" si="0"/>
        <v>0</v>
      </c>
      <c r="F22" s="29"/>
    </row>
    <row r="23" spans="2:6" x14ac:dyDescent="0.35">
      <c r="B23" s="25" t="s">
        <v>25</v>
      </c>
      <c r="C23" s="1">
        <f>'Chemicals - dye'!$B$1</f>
        <v>14</v>
      </c>
      <c r="D23" s="1">
        <f>'Chemicals - dye'!$D$1</f>
        <v>3</v>
      </c>
      <c r="E23" s="24">
        <f t="shared" si="0"/>
        <v>0.21428571428571427</v>
      </c>
      <c r="F23" s="29"/>
    </row>
    <row r="24" spans="2:6" x14ac:dyDescent="0.35">
      <c r="B24" s="26" t="s">
        <v>26</v>
      </c>
      <c r="C24" s="3"/>
      <c r="D24" s="3"/>
      <c r="E24" s="3"/>
      <c r="F24" s="29" t="s">
        <v>27</v>
      </c>
    </row>
    <row r="25" spans="2:6" x14ac:dyDescent="0.35">
      <c r="B25" s="26" t="s">
        <v>28</v>
      </c>
      <c r="C25" s="3"/>
      <c r="D25" s="3"/>
      <c r="E25" s="3"/>
      <c r="F25" s="29" t="s">
        <v>27</v>
      </c>
    </row>
    <row r="26" spans="2:6" x14ac:dyDescent="0.35">
      <c r="B26" s="25" t="s">
        <v>29</v>
      </c>
      <c r="C26" s="1">
        <f>'PM Discfilter'!$B$1</f>
        <v>16</v>
      </c>
      <c r="D26" s="1">
        <f>'PM Discfilter'!$D$1</f>
        <v>13</v>
      </c>
      <c r="E26" s="24">
        <f t="shared" si="0"/>
        <v>0.8125</v>
      </c>
      <c r="F26" s="29"/>
    </row>
    <row r="27" spans="2:6" x14ac:dyDescent="0.35">
      <c r="B27" s="26" t="s">
        <v>30</v>
      </c>
      <c r="C27" s="3"/>
      <c r="D27" s="3"/>
      <c r="E27" s="3"/>
      <c r="F27" s="29" t="s">
        <v>31</v>
      </c>
    </row>
    <row r="28" spans="2:6" x14ac:dyDescent="0.35">
      <c r="B28" s="26" t="s">
        <v>32</v>
      </c>
      <c r="C28" s="3"/>
      <c r="D28" s="3"/>
      <c r="E28" s="3"/>
      <c r="F28" s="29" t="s">
        <v>27</v>
      </c>
    </row>
    <row r="29" spans="2:6" x14ac:dyDescent="0.35">
      <c r="B29" s="26" t="s">
        <v>33</v>
      </c>
      <c r="C29" s="3"/>
      <c r="D29" s="3"/>
      <c r="E29" s="3"/>
      <c r="F29" s="29" t="s">
        <v>27</v>
      </c>
    </row>
    <row r="30" spans="2:6" x14ac:dyDescent="0.35">
      <c r="B30" s="26" t="s">
        <v>34</v>
      </c>
      <c r="C30" s="3"/>
      <c r="D30" s="3"/>
      <c r="E30" s="3"/>
      <c r="F30" s="29" t="s">
        <v>27</v>
      </c>
    </row>
    <row r="31" spans="2:6" x14ac:dyDescent="0.35">
      <c r="B31" s="26" t="s">
        <v>35</v>
      </c>
      <c r="C31" s="3"/>
      <c r="D31" s="3"/>
      <c r="E31" s="3"/>
      <c r="F31" s="29" t="s">
        <v>27</v>
      </c>
    </row>
    <row r="32" spans="2:6" ht="15" thickBot="1" x14ac:dyDescent="0.4">
      <c r="B32" s="27" t="s">
        <v>36</v>
      </c>
      <c r="C32" s="28"/>
      <c r="D32" s="28"/>
      <c r="E32" s="28"/>
      <c r="F32" s="30" t="s">
        <v>27</v>
      </c>
    </row>
  </sheetData>
  <pageMargins left="0.7" right="0.7" top="0.75" bottom="0.75" header="0.3" footer="0.3"/>
  <headerFooter>
    <oddFooter>&amp;L_x000D_&amp;1#&amp;"Aptos"&amp;10&amp;K000000 DS SMITH-BUSINESS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2EE5-D46B-4DC2-A92D-132E1E976CF4}">
  <sheetPr>
    <tabColor rgb="FF00B050"/>
  </sheetPr>
  <dimension ref="A1:F50"/>
  <sheetViews>
    <sheetView tabSelected="1" workbookViewId="0">
      <selection activeCell="J23" sqref="J23"/>
    </sheetView>
  </sheetViews>
  <sheetFormatPr defaultColWidth="8.7265625" defaultRowHeight="14.5" x14ac:dyDescent="0.35"/>
  <cols>
    <col min="1" max="1" width="50.54296875" customWidth="1"/>
    <col min="2" max="2" width="32.81640625" bestFit="1" customWidth="1"/>
  </cols>
  <sheetData>
    <row r="1" spans="1:6" ht="15" thickBot="1" x14ac:dyDescent="0.4">
      <c r="B1" s="19">
        <f>COUNTA(B4:B50)</f>
        <v>47</v>
      </c>
      <c r="C1" s="20"/>
      <c r="D1" s="20">
        <f>COUNTA(D4:D50)</f>
        <v>18</v>
      </c>
      <c r="E1" s="20"/>
      <c r="F1" s="21">
        <f>D1/B1</f>
        <v>0.38297872340425532</v>
      </c>
    </row>
    <row r="2" spans="1:6" x14ac:dyDescent="0.35">
      <c r="F2" s="14"/>
    </row>
    <row r="3" spans="1:6" x14ac:dyDescent="0.35">
      <c r="A3" s="38" t="s">
        <v>37</v>
      </c>
      <c r="B3" s="39" t="s">
        <v>38</v>
      </c>
      <c r="D3" s="39" t="s">
        <v>39</v>
      </c>
    </row>
    <row r="4" spans="1:6" x14ac:dyDescent="0.35">
      <c r="A4" s="8" t="s">
        <v>40</v>
      </c>
      <c r="B4" s="1" t="s">
        <v>41</v>
      </c>
      <c r="D4" s="1" t="s">
        <v>42</v>
      </c>
    </row>
    <row r="5" spans="1:6" x14ac:dyDescent="0.35">
      <c r="A5" s="8" t="s">
        <v>43</v>
      </c>
      <c r="B5" s="1" t="s">
        <v>44</v>
      </c>
      <c r="D5" s="1" t="s">
        <v>42</v>
      </c>
    </row>
    <row r="6" spans="1:6" x14ac:dyDescent="0.35">
      <c r="A6" s="11" t="s">
        <v>45</v>
      </c>
      <c r="B6" s="1" t="s">
        <v>46</v>
      </c>
      <c r="D6" s="1" t="s">
        <v>42</v>
      </c>
    </row>
    <row r="7" spans="1:6" x14ac:dyDescent="0.35">
      <c r="A7" s="8" t="s">
        <v>47</v>
      </c>
      <c r="B7" s="1" t="s">
        <v>48</v>
      </c>
      <c r="D7" s="1" t="s">
        <v>42</v>
      </c>
    </row>
    <row r="8" spans="1:6" x14ac:dyDescent="0.35">
      <c r="A8" s="8" t="s">
        <v>49</v>
      </c>
      <c r="B8" s="1" t="s">
        <v>50</v>
      </c>
      <c r="D8" s="1"/>
    </row>
    <row r="9" spans="1:6" x14ac:dyDescent="0.35">
      <c r="A9" s="9" t="s">
        <v>51</v>
      </c>
      <c r="B9" s="3" t="s">
        <v>52</v>
      </c>
      <c r="D9" s="1"/>
    </row>
    <row r="10" spans="1:6" x14ac:dyDescent="0.35">
      <c r="A10" s="8" t="s">
        <v>53</v>
      </c>
      <c r="B10" s="1" t="s">
        <v>54</v>
      </c>
      <c r="D10" s="1"/>
    </row>
    <row r="11" spans="1:6" x14ac:dyDescent="0.35">
      <c r="A11" s="9" t="s">
        <v>55</v>
      </c>
      <c r="B11" s="3" t="s">
        <v>56</v>
      </c>
      <c r="D11" s="1"/>
    </row>
    <row r="12" spans="1:6" x14ac:dyDescent="0.35">
      <c r="A12" s="8" t="s">
        <v>57</v>
      </c>
      <c r="B12" s="1" t="s">
        <v>58</v>
      </c>
      <c r="D12" s="1" t="s">
        <v>42</v>
      </c>
    </row>
    <row r="13" spans="1:6" x14ac:dyDescent="0.35">
      <c r="A13" s="9" t="s">
        <v>59</v>
      </c>
      <c r="B13" s="3" t="s">
        <v>52</v>
      </c>
      <c r="D13" s="1"/>
    </row>
    <row r="14" spans="1:6" x14ac:dyDescent="0.35">
      <c r="A14" s="9" t="s">
        <v>60</v>
      </c>
      <c r="B14" s="3" t="s">
        <v>61</v>
      </c>
      <c r="D14" s="1"/>
    </row>
    <row r="15" spans="1:6" x14ac:dyDescent="0.35">
      <c r="A15" s="8" t="s">
        <v>62</v>
      </c>
      <c r="B15" s="1" t="s">
        <v>63</v>
      </c>
      <c r="D15" s="1" t="s">
        <v>42</v>
      </c>
    </row>
    <row r="16" spans="1:6" x14ac:dyDescent="0.35">
      <c r="A16" s="9" t="s">
        <v>64</v>
      </c>
      <c r="B16" s="3" t="s">
        <v>65</v>
      </c>
      <c r="D16" s="1"/>
    </row>
    <row r="17" spans="1:4" x14ac:dyDescent="0.35">
      <c r="A17" s="8" t="s">
        <v>66</v>
      </c>
      <c r="B17" s="1" t="s">
        <v>67</v>
      </c>
      <c r="D17" s="1" t="s">
        <v>42</v>
      </c>
    </row>
    <row r="18" spans="1:4" x14ac:dyDescent="0.35">
      <c r="A18" s="8" t="s">
        <v>68</v>
      </c>
      <c r="B18" s="1" t="s">
        <v>69</v>
      </c>
      <c r="D18" s="1"/>
    </row>
    <row r="19" spans="1:4" x14ac:dyDescent="0.35">
      <c r="A19" s="12" t="s">
        <v>70</v>
      </c>
      <c r="B19" s="5" t="s">
        <v>71</v>
      </c>
      <c r="D19" s="1"/>
    </row>
    <row r="20" spans="1:4" x14ac:dyDescent="0.35">
      <c r="A20" s="9" t="s">
        <v>72</v>
      </c>
      <c r="B20" s="3" t="s">
        <v>73</v>
      </c>
      <c r="D20" s="1"/>
    </row>
    <row r="21" spans="1:4" x14ac:dyDescent="0.35">
      <c r="A21" s="12" t="s">
        <v>74</v>
      </c>
      <c r="B21" s="5" t="s">
        <v>75</v>
      </c>
      <c r="D21" s="1"/>
    </row>
    <row r="22" spans="1:4" x14ac:dyDescent="0.35">
      <c r="A22" s="11" t="s">
        <v>76</v>
      </c>
      <c r="B22" s="1" t="s">
        <v>77</v>
      </c>
      <c r="D22" s="1"/>
    </row>
    <row r="23" spans="1:4" x14ac:dyDescent="0.35">
      <c r="A23" s="8" t="s">
        <v>78</v>
      </c>
      <c r="B23" s="1" t="s">
        <v>77</v>
      </c>
      <c r="D23" s="1"/>
    </row>
    <row r="24" spans="1:4" x14ac:dyDescent="0.35">
      <c r="A24" s="8" t="s">
        <v>79</v>
      </c>
      <c r="B24" s="1" t="s">
        <v>77</v>
      </c>
      <c r="D24" s="1"/>
    </row>
    <row r="25" spans="1:4" x14ac:dyDescent="0.35">
      <c r="A25" s="8" t="s">
        <v>80</v>
      </c>
      <c r="B25" s="1" t="s">
        <v>77</v>
      </c>
      <c r="D25" s="1"/>
    </row>
    <row r="26" spans="1:4" x14ac:dyDescent="0.35">
      <c r="A26" s="9" t="s">
        <v>81</v>
      </c>
      <c r="B26" s="3" t="s">
        <v>52</v>
      </c>
      <c r="D26" s="1" t="s">
        <v>42</v>
      </c>
    </row>
    <row r="27" spans="1:4" x14ac:dyDescent="0.35">
      <c r="A27" s="8" t="s">
        <v>82</v>
      </c>
      <c r="B27" s="1" t="s">
        <v>83</v>
      </c>
      <c r="D27" s="1" t="s">
        <v>42</v>
      </c>
    </row>
    <row r="28" spans="1:4" x14ac:dyDescent="0.35">
      <c r="A28" s="8" t="s">
        <v>84</v>
      </c>
      <c r="B28" s="1" t="s">
        <v>85</v>
      </c>
      <c r="D28" s="1" t="s">
        <v>42</v>
      </c>
    </row>
    <row r="29" spans="1:4" x14ac:dyDescent="0.35">
      <c r="A29" s="8" t="s">
        <v>86</v>
      </c>
      <c r="B29" s="1" t="s">
        <v>87</v>
      </c>
      <c r="D29" s="1" t="s">
        <v>42</v>
      </c>
    </row>
    <row r="30" spans="1:4" x14ac:dyDescent="0.35">
      <c r="A30" s="8" t="s">
        <v>88</v>
      </c>
      <c r="B30" s="1" t="s">
        <v>89</v>
      </c>
      <c r="D30" s="1" t="s">
        <v>42</v>
      </c>
    </row>
    <row r="31" spans="1:4" x14ac:dyDescent="0.35">
      <c r="A31" s="8" t="s">
        <v>90</v>
      </c>
      <c r="B31" s="1" t="s">
        <v>91</v>
      </c>
      <c r="D31" s="1" t="s">
        <v>42</v>
      </c>
    </row>
    <row r="32" spans="1:4" x14ac:dyDescent="0.35">
      <c r="A32" s="8" t="s">
        <v>92</v>
      </c>
      <c r="B32" s="1" t="s">
        <v>93</v>
      </c>
      <c r="D32" s="1" t="s">
        <v>42</v>
      </c>
    </row>
    <row r="33" spans="1:4" x14ac:dyDescent="0.35">
      <c r="A33" s="8" t="s">
        <v>94</v>
      </c>
      <c r="B33" s="1" t="s">
        <v>77</v>
      </c>
      <c r="D33" s="1"/>
    </row>
    <row r="34" spans="1:4" x14ac:dyDescent="0.35">
      <c r="A34" s="8" t="s">
        <v>95</v>
      </c>
      <c r="B34" s="1" t="s">
        <v>77</v>
      </c>
      <c r="D34" s="1"/>
    </row>
    <row r="35" spans="1:4" x14ac:dyDescent="0.35">
      <c r="A35" s="9" t="s">
        <v>96</v>
      </c>
      <c r="B35" s="3" t="s">
        <v>97</v>
      </c>
      <c r="D35" s="1"/>
    </row>
    <row r="36" spans="1:4" x14ac:dyDescent="0.35">
      <c r="A36" s="8" t="s">
        <v>98</v>
      </c>
      <c r="B36" s="1" t="s">
        <v>99</v>
      </c>
      <c r="D36" s="1" t="s">
        <v>42</v>
      </c>
    </row>
    <row r="37" spans="1:4" x14ac:dyDescent="0.35">
      <c r="A37" s="9" t="s">
        <v>100</v>
      </c>
      <c r="B37" s="3" t="s">
        <v>101</v>
      </c>
      <c r="D37" s="1"/>
    </row>
    <row r="38" spans="1:4" x14ac:dyDescent="0.35">
      <c r="A38" s="8" t="s">
        <v>102</v>
      </c>
      <c r="B38" s="1" t="s">
        <v>77</v>
      </c>
      <c r="D38" s="1"/>
    </row>
    <row r="39" spans="1:4" x14ac:dyDescent="0.35">
      <c r="A39" s="8" t="s">
        <v>103</v>
      </c>
      <c r="B39" s="1" t="s">
        <v>77</v>
      </c>
      <c r="D39" s="1"/>
    </row>
    <row r="40" spans="1:4" x14ac:dyDescent="0.35">
      <c r="A40" s="8" t="s">
        <v>104</v>
      </c>
      <c r="B40" s="3" t="s">
        <v>105</v>
      </c>
      <c r="D40" s="1" t="s">
        <v>42</v>
      </c>
    </row>
    <row r="41" spans="1:4" x14ac:dyDescent="0.35">
      <c r="A41" s="8" t="s">
        <v>106</v>
      </c>
      <c r="B41" s="1" t="s">
        <v>77</v>
      </c>
      <c r="D41" s="1"/>
    </row>
    <row r="42" spans="1:4" x14ac:dyDescent="0.35">
      <c r="A42" s="8" t="s">
        <v>107</v>
      </c>
      <c r="B42" s="1" t="s">
        <v>77</v>
      </c>
      <c r="D42" s="1"/>
    </row>
    <row r="43" spans="1:4" x14ac:dyDescent="0.35">
      <c r="A43" s="8" t="s">
        <v>108</v>
      </c>
      <c r="B43" s="1" t="s">
        <v>77</v>
      </c>
      <c r="D43" s="1"/>
    </row>
    <row r="44" spans="1:4" x14ac:dyDescent="0.35">
      <c r="A44" s="8" t="s">
        <v>109</v>
      </c>
      <c r="B44" s="1" t="s">
        <v>110</v>
      </c>
      <c r="C44" t="s">
        <v>111</v>
      </c>
      <c r="D44" s="1"/>
    </row>
    <row r="45" spans="1:4" x14ac:dyDescent="0.35">
      <c r="A45" s="8" t="s">
        <v>112</v>
      </c>
      <c r="B45" s="1" t="s">
        <v>113</v>
      </c>
      <c r="D45" s="1" t="s">
        <v>42</v>
      </c>
    </row>
    <row r="46" spans="1:4" x14ac:dyDescent="0.35">
      <c r="A46" s="8" t="s">
        <v>114</v>
      </c>
      <c r="B46" s="1" t="s">
        <v>115</v>
      </c>
      <c r="D46" s="1" t="s">
        <v>42</v>
      </c>
    </row>
    <row r="47" spans="1:4" x14ac:dyDescent="0.35">
      <c r="A47" s="9" t="s">
        <v>116</v>
      </c>
      <c r="B47" s="3" t="s">
        <v>52</v>
      </c>
      <c r="D47" s="1"/>
    </row>
    <row r="48" spans="1:4" x14ac:dyDescent="0.35">
      <c r="A48" s="9" t="s">
        <v>117</v>
      </c>
      <c r="B48" s="3" t="s">
        <v>52</v>
      </c>
      <c r="D48" s="1"/>
    </row>
    <row r="49" spans="1:4" x14ac:dyDescent="0.35">
      <c r="A49" s="9" t="s">
        <v>118</v>
      </c>
      <c r="B49" s="3" t="s">
        <v>52</v>
      </c>
      <c r="D49" s="1"/>
    </row>
    <row r="50" spans="1:4" x14ac:dyDescent="0.35">
      <c r="A50" s="8" t="s">
        <v>119</v>
      </c>
      <c r="B50" s="1" t="s">
        <v>110</v>
      </c>
      <c r="D50" s="1"/>
    </row>
  </sheetData>
  <pageMargins left="0.7" right="0.7" top="0.75" bottom="0.75" header="0.3" footer="0.3"/>
  <pageSetup orientation="portrait" r:id="rId1"/>
  <headerFooter>
    <oddFooter>&amp;L_x000D_&amp;1#&amp;"Aptos"&amp;10&amp;K000000 DS SMITH-BUSINESS USE</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9DB-0BCA-4B38-B2D7-99482B1A7CC0}">
  <sheetPr>
    <tabColor rgb="FF00B050"/>
  </sheetPr>
  <dimension ref="A1:F45"/>
  <sheetViews>
    <sheetView workbookViewId="0">
      <selection activeCell="D3" sqref="D3:D45"/>
    </sheetView>
  </sheetViews>
  <sheetFormatPr defaultColWidth="8.7265625" defaultRowHeight="14.5" x14ac:dyDescent="0.35"/>
  <cols>
    <col min="1" max="1" width="50.54296875" customWidth="1"/>
    <col min="2" max="2" width="23.26953125" bestFit="1" customWidth="1"/>
  </cols>
  <sheetData>
    <row r="1" spans="1:6" ht="15" thickBot="1" x14ac:dyDescent="0.4">
      <c r="B1" s="19">
        <f>COUNTA(B4:B45)</f>
        <v>38</v>
      </c>
      <c r="C1" s="20"/>
      <c r="D1" s="20">
        <f>COUNTA(D4:D45)</f>
        <v>20</v>
      </c>
      <c r="E1" s="20"/>
      <c r="F1" s="21">
        <f>D1/B1</f>
        <v>0.52631578947368418</v>
      </c>
    </row>
    <row r="2" spans="1:6" x14ac:dyDescent="0.35">
      <c r="F2" s="14"/>
    </row>
    <row r="3" spans="1:6" x14ac:dyDescent="0.35">
      <c r="A3" s="38" t="s">
        <v>37</v>
      </c>
      <c r="B3" s="39" t="s">
        <v>38</v>
      </c>
      <c r="D3" s="39" t="s">
        <v>39</v>
      </c>
    </row>
    <row r="4" spans="1:6" x14ac:dyDescent="0.35">
      <c r="A4" s="11" t="s">
        <v>120</v>
      </c>
      <c r="B4" s="1" t="s">
        <v>77</v>
      </c>
      <c r="D4" s="1"/>
    </row>
    <row r="5" spans="1:6" x14ac:dyDescent="0.35">
      <c r="A5" s="11" t="s">
        <v>121</v>
      </c>
      <c r="B5" s="1" t="s">
        <v>77</v>
      </c>
      <c r="D5" s="1"/>
    </row>
    <row r="6" spans="1:6" x14ac:dyDescent="0.35">
      <c r="A6" s="9" t="s">
        <v>122</v>
      </c>
      <c r="B6" s="3" t="s">
        <v>52</v>
      </c>
      <c r="D6" s="1"/>
    </row>
    <row r="7" spans="1:6" x14ac:dyDescent="0.35">
      <c r="A7" s="8" t="s">
        <v>43</v>
      </c>
      <c r="B7" s="1" t="s">
        <v>44</v>
      </c>
      <c r="D7" s="1" t="s">
        <v>42</v>
      </c>
    </row>
    <row r="8" spans="1:6" x14ac:dyDescent="0.35">
      <c r="A8" s="12" t="s">
        <v>70</v>
      </c>
      <c r="B8" s="5" t="s">
        <v>52</v>
      </c>
      <c r="D8" s="1" t="s">
        <v>42</v>
      </c>
    </row>
    <row r="9" spans="1:6" x14ac:dyDescent="0.35">
      <c r="A9" s="12" t="s">
        <v>74</v>
      </c>
      <c r="B9" s="5" t="s">
        <v>52</v>
      </c>
      <c r="D9" s="1"/>
    </row>
    <row r="10" spans="1:6" x14ac:dyDescent="0.35">
      <c r="A10" s="11" t="s">
        <v>76</v>
      </c>
      <c r="B10" s="1" t="s">
        <v>77</v>
      </c>
      <c r="D10" s="1"/>
    </row>
    <row r="11" spans="1:6" x14ac:dyDescent="0.35">
      <c r="A11" s="8" t="s">
        <v>78</v>
      </c>
      <c r="B11" s="1" t="s">
        <v>77</v>
      </c>
      <c r="D11" s="1"/>
    </row>
    <row r="12" spans="1:6" x14ac:dyDescent="0.35">
      <c r="A12" s="8" t="s">
        <v>47</v>
      </c>
      <c r="B12" s="1"/>
      <c r="D12" s="1" t="s">
        <v>42</v>
      </c>
    </row>
    <row r="13" spans="1:6" x14ac:dyDescent="0.35">
      <c r="A13" s="8" t="s">
        <v>123</v>
      </c>
      <c r="B13" s="1" t="s">
        <v>124</v>
      </c>
      <c r="D13" s="1" t="s">
        <v>42</v>
      </c>
    </row>
    <row r="14" spans="1:6" x14ac:dyDescent="0.35">
      <c r="A14" s="9" t="s">
        <v>125</v>
      </c>
      <c r="B14" s="3" t="s">
        <v>52</v>
      </c>
      <c r="D14" s="1" t="s">
        <v>42</v>
      </c>
    </row>
    <row r="15" spans="1:6" x14ac:dyDescent="0.35">
      <c r="A15" s="9" t="s">
        <v>126</v>
      </c>
      <c r="B15" s="3" t="s">
        <v>52</v>
      </c>
      <c r="D15" s="1" t="s">
        <v>42</v>
      </c>
    </row>
    <row r="16" spans="1:6" x14ac:dyDescent="0.35">
      <c r="A16" s="9" t="s">
        <v>81</v>
      </c>
      <c r="B16" s="3" t="s">
        <v>52</v>
      </c>
      <c r="D16" s="1" t="s">
        <v>42</v>
      </c>
    </row>
    <row r="17" spans="1:4" x14ac:dyDescent="0.35">
      <c r="A17" s="8" t="s">
        <v>127</v>
      </c>
      <c r="B17" s="1" t="s">
        <v>128</v>
      </c>
      <c r="D17" s="1" t="s">
        <v>42</v>
      </c>
    </row>
    <row r="18" spans="1:4" x14ac:dyDescent="0.35">
      <c r="A18" s="9" t="s">
        <v>129</v>
      </c>
      <c r="B18" s="3" t="s">
        <v>52</v>
      </c>
      <c r="D18" s="1" t="s">
        <v>42</v>
      </c>
    </row>
    <row r="19" spans="1:4" x14ac:dyDescent="0.35">
      <c r="A19" s="8" t="s">
        <v>82</v>
      </c>
      <c r="B19" s="1" t="s">
        <v>83</v>
      </c>
      <c r="D19" s="1" t="s">
        <v>42</v>
      </c>
    </row>
    <row r="20" spans="1:4" x14ac:dyDescent="0.35">
      <c r="A20" s="9" t="s">
        <v>130</v>
      </c>
      <c r="B20" s="3" t="s">
        <v>52</v>
      </c>
      <c r="D20" s="1" t="s">
        <v>42</v>
      </c>
    </row>
    <row r="21" spans="1:4" x14ac:dyDescent="0.35">
      <c r="A21" s="8" t="s">
        <v>86</v>
      </c>
      <c r="B21" s="1" t="s">
        <v>87</v>
      </c>
      <c r="D21" s="1" t="s">
        <v>42</v>
      </c>
    </row>
    <row r="22" spans="1:4" x14ac:dyDescent="0.35">
      <c r="A22" s="9" t="s">
        <v>131</v>
      </c>
      <c r="B22" s="3" t="s">
        <v>52</v>
      </c>
      <c r="D22" s="1" t="s">
        <v>42</v>
      </c>
    </row>
    <row r="23" spans="1:4" x14ac:dyDescent="0.35">
      <c r="A23" s="8" t="s">
        <v>132</v>
      </c>
      <c r="B23" s="1" t="s">
        <v>133</v>
      </c>
      <c r="D23" s="1" t="s">
        <v>42</v>
      </c>
    </row>
    <row r="24" spans="1:4" x14ac:dyDescent="0.35">
      <c r="A24" s="8" t="s">
        <v>134</v>
      </c>
      <c r="B24" s="1" t="s">
        <v>135</v>
      </c>
      <c r="D24" s="1"/>
    </row>
    <row r="25" spans="1:4" x14ac:dyDescent="0.35">
      <c r="A25" s="8" t="s">
        <v>98</v>
      </c>
      <c r="B25" s="1" t="s">
        <v>99</v>
      </c>
      <c r="D25" s="1" t="s">
        <v>42</v>
      </c>
    </row>
    <row r="26" spans="1:4" x14ac:dyDescent="0.35">
      <c r="A26" s="9" t="s">
        <v>100</v>
      </c>
      <c r="B26" s="3" t="s">
        <v>52</v>
      </c>
      <c r="D26" s="1"/>
    </row>
    <row r="27" spans="1:4" x14ac:dyDescent="0.35">
      <c r="A27" s="4" t="s">
        <v>136</v>
      </c>
      <c r="B27" s="3" t="s">
        <v>52</v>
      </c>
      <c r="D27" s="1" t="s">
        <v>42</v>
      </c>
    </row>
    <row r="28" spans="1:4" x14ac:dyDescent="0.35">
      <c r="A28" s="4" t="s">
        <v>137</v>
      </c>
      <c r="B28" s="3" t="s">
        <v>52</v>
      </c>
      <c r="D28" s="1" t="s">
        <v>42</v>
      </c>
    </row>
    <row r="29" spans="1:4" x14ac:dyDescent="0.35">
      <c r="A29" s="4" t="s">
        <v>138</v>
      </c>
      <c r="B29" s="3" t="s">
        <v>52</v>
      </c>
      <c r="D29" s="1" t="s">
        <v>42</v>
      </c>
    </row>
    <row r="30" spans="1:4" x14ac:dyDescent="0.35">
      <c r="A30" s="8" t="s">
        <v>139</v>
      </c>
      <c r="B30" s="1" t="s">
        <v>140</v>
      </c>
      <c r="D30" s="1" t="s">
        <v>42</v>
      </c>
    </row>
    <row r="31" spans="1:4" x14ac:dyDescent="0.35">
      <c r="A31" s="8" t="s">
        <v>141</v>
      </c>
      <c r="B31" s="1" t="s">
        <v>77</v>
      </c>
      <c r="D31" s="1"/>
    </row>
    <row r="32" spans="1:4" x14ac:dyDescent="0.35">
      <c r="A32" s="8" t="s">
        <v>142</v>
      </c>
      <c r="B32" s="1" t="s">
        <v>77</v>
      </c>
      <c r="D32" s="1"/>
    </row>
    <row r="33" spans="1:4" x14ac:dyDescent="0.35">
      <c r="A33" s="8" t="s">
        <v>143</v>
      </c>
      <c r="B33" s="1" t="s">
        <v>144</v>
      </c>
      <c r="D33" s="1" t="s">
        <v>42</v>
      </c>
    </row>
    <row r="34" spans="1:4" x14ac:dyDescent="0.35">
      <c r="A34" s="8" t="s">
        <v>145</v>
      </c>
      <c r="B34" s="1" t="s">
        <v>77</v>
      </c>
      <c r="D34" s="1"/>
    </row>
    <row r="35" spans="1:4" x14ac:dyDescent="0.35">
      <c r="A35" s="8" t="s">
        <v>146</v>
      </c>
      <c r="B35" s="1" t="s">
        <v>77</v>
      </c>
      <c r="D35" s="1"/>
    </row>
    <row r="36" spans="1:4" x14ac:dyDescent="0.35">
      <c r="A36" s="8" t="s">
        <v>147</v>
      </c>
      <c r="B36" s="1" t="s">
        <v>148</v>
      </c>
      <c r="D36" s="1"/>
    </row>
    <row r="37" spans="1:4" x14ac:dyDescent="0.35">
      <c r="A37" s="9" t="s">
        <v>149</v>
      </c>
      <c r="B37" s="3" t="s">
        <v>52</v>
      </c>
      <c r="D37" s="1"/>
    </row>
    <row r="38" spans="1:4" x14ac:dyDescent="0.35">
      <c r="A38" s="4" t="s">
        <v>150</v>
      </c>
      <c r="B38" s="3" t="s">
        <v>52</v>
      </c>
      <c r="D38" s="1"/>
    </row>
    <row r="39" spans="1:4" x14ac:dyDescent="0.35">
      <c r="A39" s="8" t="s">
        <v>151</v>
      </c>
      <c r="B39" s="1" t="s">
        <v>77</v>
      </c>
      <c r="D39" s="1"/>
    </row>
    <row r="40" spans="1:4" x14ac:dyDescent="0.35">
      <c r="A40" s="8" t="s">
        <v>152</v>
      </c>
      <c r="B40" s="1" t="s">
        <v>77</v>
      </c>
      <c r="D40" s="1"/>
    </row>
    <row r="41" spans="1:4" x14ac:dyDescent="0.35">
      <c r="A41" s="8" t="s">
        <v>153</v>
      </c>
      <c r="B41" s="1" t="s">
        <v>77</v>
      </c>
      <c r="D41" s="1"/>
    </row>
    <row r="42" spans="1:4" x14ac:dyDescent="0.35">
      <c r="A42" s="8" t="s">
        <v>154</v>
      </c>
      <c r="B42" s="1" t="s">
        <v>77</v>
      </c>
      <c r="D42" s="1"/>
    </row>
    <row r="43" spans="1:4" x14ac:dyDescent="0.35">
      <c r="A43" s="8"/>
      <c r="B43" s="1"/>
      <c r="D43" s="1"/>
    </row>
    <row r="44" spans="1:4" x14ac:dyDescent="0.35">
      <c r="A44" s="8"/>
      <c r="B44" s="1"/>
      <c r="D44" s="1"/>
    </row>
    <row r="45" spans="1:4" x14ac:dyDescent="0.35">
      <c r="A45" s="8"/>
      <c r="B45" s="1"/>
      <c r="D45" s="1"/>
    </row>
  </sheetData>
  <pageMargins left="0.7" right="0.7" top="0.75" bottom="0.75" header="0.3" footer="0.3"/>
  <headerFooter>
    <oddFooter>&amp;L_x000D_&amp;1#&amp;"Aptos"&amp;10&amp;K000000 DS SMITH-BUSINESS USE</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1CE47-F763-4FF9-AB42-CAB8E4A7C972}">
  <sheetPr>
    <tabColor rgb="FF00B050"/>
  </sheetPr>
  <dimension ref="A1:F30"/>
  <sheetViews>
    <sheetView workbookViewId="0">
      <selection activeCell="D3" sqref="D3:D30"/>
    </sheetView>
  </sheetViews>
  <sheetFormatPr defaultColWidth="8.7265625" defaultRowHeight="14.5" x14ac:dyDescent="0.35"/>
  <cols>
    <col min="1" max="1" width="50.54296875" customWidth="1"/>
    <col min="2" max="2" width="21" bestFit="1" customWidth="1"/>
  </cols>
  <sheetData>
    <row r="1" spans="1:6" ht="15" thickBot="1" x14ac:dyDescent="0.4">
      <c r="B1" s="19">
        <f>COUNTA(B4:B30)</f>
        <v>25</v>
      </c>
      <c r="C1" s="20"/>
      <c r="D1" s="20">
        <f>COUNTA(D4:D30)</f>
        <v>18</v>
      </c>
      <c r="E1" s="20"/>
      <c r="F1" s="21">
        <f>D1/B1</f>
        <v>0.72</v>
      </c>
    </row>
    <row r="3" spans="1:6" x14ac:dyDescent="0.35">
      <c r="A3" s="38" t="s">
        <v>37</v>
      </c>
      <c r="B3" s="39" t="s">
        <v>38</v>
      </c>
      <c r="D3" s="39" t="s">
        <v>39</v>
      </c>
    </row>
    <row r="4" spans="1:6" x14ac:dyDescent="0.35">
      <c r="A4" s="11" t="s">
        <v>155</v>
      </c>
      <c r="B4" s="1" t="s">
        <v>77</v>
      </c>
      <c r="D4" s="1"/>
    </row>
    <row r="5" spans="1:6" x14ac:dyDescent="0.35">
      <c r="A5" s="8" t="s">
        <v>156</v>
      </c>
      <c r="B5" s="1" t="s">
        <v>77</v>
      </c>
      <c r="D5" s="1"/>
    </row>
    <row r="6" spans="1:6" x14ac:dyDescent="0.35">
      <c r="A6" s="12" t="s">
        <v>157</v>
      </c>
      <c r="B6" s="5" t="s">
        <v>158</v>
      </c>
      <c r="D6" s="1"/>
    </row>
    <row r="7" spans="1:6" x14ac:dyDescent="0.35">
      <c r="A7" s="12" t="s">
        <v>159</v>
      </c>
      <c r="B7" s="5" t="s">
        <v>158</v>
      </c>
      <c r="D7" s="1"/>
    </row>
    <row r="8" spans="1:6" x14ac:dyDescent="0.35">
      <c r="A8" s="8" t="s">
        <v>160</v>
      </c>
      <c r="B8" s="1" t="s">
        <v>161</v>
      </c>
      <c r="D8" s="1" t="s">
        <v>42</v>
      </c>
    </row>
    <row r="9" spans="1:6" x14ac:dyDescent="0.35">
      <c r="A9" s="8" t="s">
        <v>162</v>
      </c>
      <c r="B9" s="1" t="s">
        <v>163</v>
      </c>
      <c r="D9" s="1" t="s">
        <v>42</v>
      </c>
    </row>
    <row r="10" spans="1:6" x14ac:dyDescent="0.35">
      <c r="A10" s="8" t="s">
        <v>164</v>
      </c>
      <c r="B10" s="1" t="s">
        <v>165</v>
      </c>
      <c r="D10" s="1" t="s">
        <v>42</v>
      </c>
    </row>
    <row r="11" spans="1:6" x14ac:dyDescent="0.35">
      <c r="A11" s="11" t="s">
        <v>166</v>
      </c>
      <c r="B11" s="1" t="s">
        <v>167</v>
      </c>
      <c r="D11" s="1" t="s">
        <v>42</v>
      </c>
    </row>
    <row r="12" spans="1:6" x14ac:dyDescent="0.35">
      <c r="A12" s="8" t="s">
        <v>168</v>
      </c>
      <c r="B12" s="1" t="s">
        <v>169</v>
      </c>
      <c r="D12" s="1" t="s">
        <v>42</v>
      </c>
    </row>
    <row r="13" spans="1:6" x14ac:dyDescent="0.35">
      <c r="A13" s="8" t="s">
        <v>170</v>
      </c>
      <c r="B13" s="1" t="s">
        <v>171</v>
      </c>
      <c r="D13" s="1" t="s">
        <v>42</v>
      </c>
    </row>
    <row r="14" spans="1:6" x14ac:dyDescent="0.35">
      <c r="A14" s="8" t="s">
        <v>172</v>
      </c>
      <c r="B14" s="1" t="s">
        <v>173</v>
      </c>
      <c r="D14" s="1" t="s">
        <v>42</v>
      </c>
    </row>
    <row r="15" spans="1:6" x14ac:dyDescent="0.35">
      <c r="A15" s="8" t="s">
        <v>174</v>
      </c>
      <c r="B15" s="1" t="s">
        <v>175</v>
      </c>
      <c r="D15" s="1" t="s">
        <v>42</v>
      </c>
    </row>
    <row r="16" spans="1:6" x14ac:dyDescent="0.35">
      <c r="A16" s="8" t="s">
        <v>176</v>
      </c>
      <c r="B16" s="1" t="s">
        <v>177</v>
      </c>
      <c r="D16" s="1" t="s">
        <v>42</v>
      </c>
    </row>
    <row r="17" spans="1:4" x14ac:dyDescent="0.35">
      <c r="A17" s="12" t="s">
        <v>178</v>
      </c>
      <c r="B17" s="5" t="s">
        <v>158</v>
      </c>
      <c r="D17" s="1"/>
    </row>
    <row r="18" spans="1:4" x14ac:dyDescent="0.35">
      <c r="A18" s="8" t="s">
        <v>179</v>
      </c>
      <c r="B18" s="1" t="s">
        <v>180</v>
      </c>
      <c r="D18" s="1" t="s">
        <v>42</v>
      </c>
    </row>
    <row r="19" spans="1:4" x14ac:dyDescent="0.35">
      <c r="A19" s="8" t="s">
        <v>181</v>
      </c>
      <c r="B19" s="1" t="s">
        <v>182</v>
      </c>
      <c r="D19" s="1" t="s">
        <v>42</v>
      </c>
    </row>
    <row r="20" spans="1:4" x14ac:dyDescent="0.35">
      <c r="A20" s="8" t="s">
        <v>183</v>
      </c>
      <c r="B20" s="1" t="s">
        <v>184</v>
      </c>
      <c r="D20" s="1" t="s">
        <v>42</v>
      </c>
    </row>
    <row r="21" spans="1:4" x14ac:dyDescent="0.35">
      <c r="A21" s="12" t="s">
        <v>185</v>
      </c>
      <c r="B21" s="5" t="s">
        <v>158</v>
      </c>
      <c r="D21" s="1"/>
    </row>
    <row r="22" spans="1:4" x14ac:dyDescent="0.35">
      <c r="A22" s="8" t="s">
        <v>186</v>
      </c>
      <c r="B22" s="1" t="s">
        <v>187</v>
      </c>
      <c r="D22" s="1" t="s">
        <v>42</v>
      </c>
    </row>
    <row r="23" spans="1:4" x14ac:dyDescent="0.35">
      <c r="A23" s="8" t="s">
        <v>188</v>
      </c>
      <c r="B23" s="1" t="s">
        <v>189</v>
      </c>
      <c r="D23" s="1" t="s">
        <v>42</v>
      </c>
    </row>
    <row r="24" spans="1:4" x14ac:dyDescent="0.35">
      <c r="A24" s="8" t="s">
        <v>190</v>
      </c>
      <c r="B24" s="1" t="s">
        <v>191</v>
      </c>
      <c r="D24" s="1" t="s">
        <v>42</v>
      </c>
    </row>
    <row r="25" spans="1:4" x14ac:dyDescent="0.35">
      <c r="A25" s="12" t="s">
        <v>192</v>
      </c>
      <c r="B25" s="5" t="s">
        <v>158</v>
      </c>
      <c r="D25" s="1"/>
    </row>
    <row r="26" spans="1:4" x14ac:dyDescent="0.35">
      <c r="A26" s="8" t="s">
        <v>193</v>
      </c>
      <c r="B26" s="1" t="s">
        <v>77</v>
      </c>
      <c r="D26" s="1" t="s">
        <v>42</v>
      </c>
    </row>
    <row r="27" spans="1:4" x14ac:dyDescent="0.35">
      <c r="A27" s="8" t="s">
        <v>194</v>
      </c>
      <c r="B27" s="1" t="s">
        <v>77</v>
      </c>
      <c r="D27" s="1" t="s">
        <v>42</v>
      </c>
    </row>
    <row r="28" spans="1:4" x14ac:dyDescent="0.35">
      <c r="A28" s="8" t="s">
        <v>195</v>
      </c>
      <c r="B28" s="1" t="s">
        <v>110</v>
      </c>
      <c r="D28" s="1" t="s">
        <v>42</v>
      </c>
    </row>
    <row r="29" spans="1:4" x14ac:dyDescent="0.35">
      <c r="A29" s="8"/>
      <c r="B29" s="1"/>
      <c r="D29" s="1"/>
    </row>
    <row r="30" spans="1:4" x14ac:dyDescent="0.35">
      <c r="A30" s="8"/>
      <c r="B30" s="1"/>
      <c r="D30" s="1"/>
    </row>
  </sheetData>
  <pageMargins left="0.7" right="0.7" top="0.75" bottom="0.75" header="0.3" footer="0.3"/>
  <headerFooter>
    <oddFooter>&amp;L_x000D_&amp;1#&amp;"Aptos"&amp;10&amp;K000000 DS SMITH-BUSINESS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0148-DD73-4419-A3F2-D7B534FDB597}">
  <sheetPr>
    <tabColor rgb="FF00B050"/>
  </sheetPr>
  <dimension ref="A1:F52"/>
  <sheetViews>
    <sheetView workbookViewId="0">
      <selection activeCell="D3" sqref="D3:D50"/>
    </sheetView>
  </sheetViews>
  <sheetFormatPr defaultColWidth="8.7265625" defaultRowHeight="14.5" x14ac:dyDescent="0.35"/>
  <cols>
    <col min="1" max="1" width="50.54296875" customWidth="1"/>
    <col min="2" max="2" width="21.54296875" bestFit="1" customWidth="1"/>
  </cols>
  <sheetData>
    <row r="1" spans="1:6" ht="15" thickBot="1" x14ac:dyDescent="0.4">
      <c r="B1" s="19">
        <f>COUNTA(B4:B50)</f>
        <v>47</v>
      </c>
      <c r="C1" s="20"/>
      <c r="D1" s="20">
        <f>COUNTA(D4:D50)</f>
        <v>38</v>
      </c>
      <c r="E1" s="20"/>
      <c r="F1" s="21">
        <f>D1/B1</f>
        <v>0.80851063829787229</v>
      </c>
    </row>
    <row r="3" spans="1:6" x14ac:dyDescent="0.35">
      <c r="A3" s="38" t="s">
        <v>37</v>
      </c>
      <c r="B3" s="39" t="s">
        <v>38</v>
      </c>
      <c r="D3" s="39" t="s">
        <v>39</v>
      </c>
    </row>
    <row r="4" spans="1:6" x14ac:dyDescent="0.35">
      <c r="A4" s="8" t="s">
        <v>196</v>
      </c>
      <c r="B4" s="1" t="s">
        <v>163</v>
      </c>
      <c r="D4" s="1" t="s">
        <v>42</v>
      </c>
    </row>
    <row r="5" spans="1:6" x14ac:dyDescent="0.35">
      <c r="A5" s="8" t="s">
        <v>197</v>
      </c>
      <c r="B5" s="1" t="s">
        <v>198</v>
      </c>
      <c r="D5" s="1" t="s">
        <v>42</v>
      </c>
    </row>
    <row r="6" spans="1:6" x14ac:dyDescent="0.35">
      <c r="A6" s="8" t="s">
        <v>199</v>
      </c>
      <c r="B6" s="1" t="s">
        <v>173</v>
      </c>
      <c r="D6" s="1" t="s">
        <v>42</v>
      </c>
    </row>
    <row r="7" spans="1:6" x14ac:dyDescent="0.35">
      <c r="A7" s="9" t="s">
        <v>200</v>
      </c>
      <c r="B7" s="3" t="s">
        <v>201</v>
      </c>
      <c r="D7" s="1"/>
    </row>
    <row r="8" spans="1:6" x14ac:dyDescent="0.35">
      <c r="A8" s="8" t="s">
        <v>202</v>
      </c>
      <c r="B8" s="1" t="s">
        <v>175</v>
      </c>
      <c r="D8" s="1" t="s">
        <v>42</v>
      </c>
    </row>
    <row r="9" spans="1:6" x14ac:dyDescent="0.35">
      <c r="A9" s="8" t="s">
        <v>203</v>
      </c>
      <c r="B9" s="1" t="s">
        <v>177</v>
      </c>
      <c r="D9" s="1" t="s">
        <v>42</v>
      </c>
    </row>
    <row r="10" spans="1:6" x14ac:dyDescent="0.35">
      <c r="A10" s="8" t="s">
        <v>204</v>
      </c>
      <c r="B10" s="1" t="s">
        <v>167</v>
      </c>
      <c r="D10" s="1" t="s">
        <v>42</v>
      </c>
    </row>
    <row r="11" spans="1:6" x14ac:dyDescent="0.35">
      <c r="A11" s="8" t="s">
        <v>205</v>
      </c>
      <c r="B11" s="1" t="s">
        <v>77</v>
      </c>
      <c r="D11" s="1"/>
    </row>
    <row r="12" spans="1:6" x14ac:dyDescent="0.35">
      <c r="A12" s="8" t="s">
        <v>186</v>
      </c>
      <c r="B12" s="1" t="s">
        <v>187</v>
      </c>
      <c r="D12" s="1" t="s">
        <v>42</v>
      </c>
    </row>
    <row r="13" spans="1:6" x14ac:dyDescent="0.35">
      <c r="A13" s="8" t="s">
        <v>188</v>
      </c>
      <c r="B13" s="1" t="s">
        <v>189</v>
      </c>
      <c r="D13" s="1" t="s">
        <v>42</v>
      </c>
    </row>
    <row r="14" spans="1:6" x14ac:dyDescent="0.35">
      <c r="A14" s="9" t="s">
        <v>206</v>
      </c>
      <c r="B14" s="3" t="s">
        <v>201</v>
      </c>
      <c r="D14" s="1"/>
    </row>
    <row r="15" spans="1:6" x14ac:dyDescent="0.35">
      <c r="A15" s="8" t="s">
        <v>190</v>
      </c>
      <c r="B15" s="1" t="s">
        <v>191</v>
      </c>
      <c r="D15" s="1" t="s">
        <v>42</v>
      </c>
    </row>
    <row r="16" spans="1:6" x14ac:dyDescent="0.35">
      <c r="A16" s="8" t="s">
        <v>207</v>
      </c>
      <c r="B16" s="1" t="s">
        <v>208</v>
      </c>
      <c r="D16" s="1" t="s">
        <v>42</v>
      </c>
    </row>
    <row r="17" spans="1:4" x14ac:dyDescent="0.35">
      <c r="A17" s="8" t="s">
        <v>209</v>
      </c>
      <c r="B17" s="1" t="s">
        <v>210</v>
      </c>
      <c r="D17" s="1" t="s">
        <v>42</v>
      </c>
    </row>
    <row r="18" spans="1:4" x14ac:dyDescent="0.35">
      <c r="A18" s="8" t="s">
        <v>211</v>
      </c>
      <c r="B18" s="1" t="s">
        <v>212</v>
      </c>
      <c r="D18" s="1" t="s">
        <v>42</v>
      </c>
    </row>
    <row r="19" spans="1:4" x14ac:dyDescent="0.35">
      <c r="A19" s="9" t="s">
        <v>213</v>
      </c>
      <c r="B19" s="3" t="s">
        <v>201</v>
      </c>
      <c r="D19" s="1"/>
    </row>
    <row r="20" spans="1:4" x14ac:dyDescent="0.35">
      <c r="A20" s="8" t="s">
        <v>214</v>
      </c>
      <c r="B20" s="1" t="s">
        <v>215</v>
      </c>
      <c r="D20" s="1" t="s">
        <v>42</v>
      </c>
    </row>
    <row r="21" spans="1:4" x14ac:dyDescent="0.35">
      <c r="A21" s="8" t="s">
        <v>216</v>
      </c>
      <c r="B21" s="1" t="s">
        <v>217</v>
      </c>
      <c r="D21" s="1" t="s">
        <v>42</v>
      </c>
    </row>
    <row r="22" spans="1:4" x14ac:dyDescent="0.35">
      <c r="A22" s="8" t="s">
        <v>218</v>
      </c>
      <c r="B22" s="1" t="s">
        <v>219</v>
      </c>
      <c r="D22" s="1" t="s">
        <v>42</v>
      </c>
    </row>
    <row r="23" spans="1:4" x14ac:dyDescent="0.35">
      <c r="A23" s="9" t="s">
        <v>220</v>
      </c>
      <c r="B23" s="3" t="s">
        <v>201</v>
      </c>
      <c r="D23" s="1"/>
    </row>
    <row r="24" spans="1:4" x14ac:dyDescent="0.35">
      <c r="A24" s="8" t="s">
        <v>221</v>
      </c>
      <c r="B24" s="1" t="s">
        <v>222</v>
      </c>
      <c r="D24" s="1" t="s">
        <v>42</v>
      </c>
    </row>
    <row r="25" spans="1:4" x14ac:dyDescent="0.35">
      <c r="A25" s="8" t="s">
        <v>223</v>
      </c>
      <c r="B25" s="1" t="s">
        <v>224</v>
      </c>
      <c r="D25" s="1" t="s">
        <v>42</v>
      </c>
    </row>
    <row r="26" spans="1:4" x14ac:dyDescent="0.35">
      <c r="A26" s="8" t="s">
        <v>225</v>
      </c>
      <c r="B26" s="1" t="s">
        <v>226</v>
      </c>
      <c r="D26" s="1" t="s">
        <v>42</v>
      </c>
    </row>
    <row r="27" spans="1:4" x14ac:dyDescent="0.35">
      <c r="A27" s="8" t="s">
        <v>227</v>
      </c>
      <c r="B27" s="1" t="s">
        <v>228</v>
      </c>
      <c r="D27" s="1" t="s">
        <v>42</v>
      </c>
    </row>
    <row r="28" spans="1:4" x14ac:dyDescent="0.35">
      <c r="A28" s="8" t="s">
        <v>229</v>
      </c>
      <c r="B28" s="1" t="s">
        <v>230</v>
      </c>
      <c r="D28" s="1" t="s">
        <v>42</v>
      </c>
    </row>
    <row r="29" spans="1:4" x14ac:dyDescent="0.35">
      <c r="A29" s="8" t="s">
        <v>231</v>
      </c>
      <c r="B29" s="1" t="s">
        <v>232</v>
      </c>
      <c r="D29" s="1" t="s">
        <v>42</v>
      </c>
    </row>
    <row r="30" spans="1:4" x14ac:dyDescent="0.35">
      <c r="A30" s="8" t="s">
        <v>233</v>
      </c>
      <c r="B30" s="1" t="s">
        <v>234</v>
      </c>
      <c r="D30" s="1" t="s">
        <v>42</v>
      </c>
    </row>
    <row r="31" spans="1:4" x14ac:dyDescent="0.35">
      <c r="A31" s="8" t="s">
        <v>235</v>
      </c>
      <c r="B31" s="1" t="s">
        <v>236</v>
      </c>
      <c r="D31" s="1" t="s">
        <v>42</v>
      </c>
    </row>
    <row r="32" spans="1:4" x14ac:dyDescent="0.35">
      <c r="A32" s="11" t="s">
        <v>237</v>
      </c>
      <c r="B32" s="1" t="s">
        <v>238</v>
      </c>
      <c r="D32" s="1" t="s">
        <v>42</v>
      </c>
    </row>
    <row r="33" spans="1:4" x14ac:dyDescent="0.35">
      <c r="A33" s="11" t="s">
        <v>239</v>
      </c>
      <c r="B33" s="1" t="s">
        <v>240</v>
      </c>
      <c r="D33" s="1" t="s">
        <v>42</v>
      </c>
    </row>
    <row r="34" spans="1:4" x14ac:dyDescent="0.35">
      <c r="A34" s="11" t="s">
        <v>241</v>
      </c>
      <c r="B34" s="1" t="s">
        <v>242</v>
      </c>
      <c r="D34" s="1" t="s">
        <v>42</v>
      </c>
    </row>
    <row r="35" spans="1:4" x14ac:dyDescent="0.35">
      <c r="A35" s="8" t="s">
        <v>243</v>
      </c>
      <c r="B35" s="1" t="s">
        <v>244</v>
      </c>
      <c r="D35" s="1" t="s">
        <v>42</v>
      </c>
    </row>
    <row r="36" spans="1:4" x14ac:dyDescent="0.35">
      <c r="A36" s="8" t="s">
        <v>245</v>
      </c>
      <c r="B36" s="1" t="s">
        <v>246</v>
      </c>
      <c r="D36" s="1" t="s">
        <v>42</v>
      </c>
    </row>
    <row r="37" spans="1:4" x14ac:dyDescent="0.35">
      <c r="A37" s="8" t="s">
        <v>247</v>
      </c>
      <c r="B37" s="1" t="s">
        <v>248</v>
      </c>
      <c r="D37" s="1" t="s">
        <v>42</v>
      </c>
    </row>
    <row r="38" spans="1:4" x14ac:dyDescent="0.35">
      <c r="A38" s="9" t="s">
        <v>249</v>
      </c>
      <c r="B38" s="3" t="s">
        <v>201</v>
      </c>
      <c r="D38" s="1"/>
    </row>
    <row r="39" spans="1:4" x14ac:dyDescent="0.35">
      <c r="A39" s="8" t="s">
        <v>250</v>
      </c>
      <c r="B39" s="1" t="s">
        <v>251</v>
      </c>
      <c r="D39" s="1" t="s">
        <v>42</v>
      </c>
    </row>
    <row r="40" spans="1:4" x14ac:dyDescent="0.35">
      <c r="A40" s="8" t="s">
        <v>252</v>
      </c>
      <c r="B40" s="1" t="s">
        <v>253</v>
      </c>
      <c r="D40" s="1" t="s">
        <v>42</v>
      </c>
    </row>
    <row r="41" spans="1:4" x14ac:dyDescent="0.35">
      <c r="A41" s="8" t="s">
        <v>254</v>
      </c>
      <c r="B41" s="1" t="s">
        <v>255</v>
      </c>
      <c r="D41" s="1" t="s">
        <v>42</v>
      </c>
    </row>
    <row r="42" spans="1:4" x14ac:dyDescent="0.35">
      <c r="A42" s="8" t="s">
        <v>256</v>
      </c>
      <c r="B42" s="1" t="s">
        <v>257</v>
      </c>
      <c r="D42" s="1" t="s">
        <v>42</v>
      </c>
    </row>
    <row r="43" spans="1:4" x14ac:dyDescent="0.35">
      <c r="A43" s="9" t="s">
        <v>258</v>
      </c>
      <c r="B43" s="3" t="s">
        <v>201</v>
      </c>
      <c r="D43" s="1"/>
    </row>
    <row r="44" spans="1:4" x14ac:dyDescent="0.35">
      <c r="A44" s="11" t="s">
        <v>259</v>
      </c>
      <c r="B44" s="1" t="s">
        <v>248</v>
      </c>
      <c r="D44" s="1" t="s">
        <v>42</v>
      </c>
    </row>
    <row r="45" spans="1:4" x14ac:dyDescent="0.35">
      <c r="A45" s="9" t="s">
        <v>260</v>
      </c>
      <c r="B45" s="3" t="s">
        <v>201</v>
      </c>
      <c r="D45" s="1"/>
    </row>
    <row r="46" spans="1:4" x14ac:dyDescent="0.35">
      <c r="A46" s="8" t="s">
        <v>261</v>
      </c>
      <c r="B46" s="1" t="s">
        <v>110</v>
      </c>
      <c r="D46" s="1"/>
    </row>
    <row r="47" spans="1:4" x14ac:dyDescent="0.35">
      <c r="A47" s="8" t="s">
        <v>262</v>
      </c>
      <c r="B47" s="1" t="s">
        <v>263</v>
      </c>
      <c r="D47" s="1" t="s">
        <v>42</v>
      </c>
    </row>
    <row r="48" spans="1:4" x14ac:dyDescent="0.35">
      <c r="A48" s="9" t="s">
        <v>264</v>
      </c>
      <c r="B48" s="3" t="s">
        <v>201</v>
      </c>
      <c r="D48" s="1" t="s">
        <v>42</v>
      </c>
    </row>
    <row r="49" spans="1:4" x14ac:dyDescent="0.35">
      <c r="A49" s="9" t="s">
        <v>265</v>
      </c>
      <c r="B49" s="3" t="s">
        <v>201</v>
      </c>
      <c r="D49" s="1" t="s">
        <v>42</v>
      </c>
    </row>
    <row r="50" spans="1:4" x14ac:dyDescent="0.35">
      <c r="A50" s="9" t="s">
        <v>266</v>
      </c>
      <c r="B50" s="3" t="s">
        <v>201</v>
      </c>
      <c r="D50" s="1" t="s">
        <v>42</v>
      </c>
    </row>
    <row r="51" spans="1:4" x14ac:dyDescent="0.35">
      <c r="A51" s="13"/>
    </row>
    <row r="52" spans="1:4" x14ac:dyDescent="0.35">
      <c r="A52" s="13"/>
    </row>
  </sheetData>
  <pageMargins left="0.7" right="0.7" top="0.75" bottom="0.75" header="0.3" footer="0.3"/>
  <pageSetup paperSize="9" orientation="portrait" r:id="rId1"/>
  <headerFooter>
    <oddFooter>&amp;L_x000D_&amp;1#&amp;"Aptos"&amp;10&amp;K000000 DS SMITH-BUSINESS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8933-8480-4F47-9791-0F57F3C76DA4}">
  <sheetPr>
    <tabColor rgb="FF00B050"/>
  </sheetPr>
  <dimension ref="A1:F67"/>
  <sheetViews>
    <sheetView workbookViewId="0">
      <selection activeCell="C73" sqref="C73"/>
    </sheetView>
  </sheetViews>
  <sheetFormatPr defaultColWidth="8.7265625" defaultRowHeight="14.5" x14ac:dyDescent="0.35"/>
  <cols>
    <col min="1" max="1" width="50.54296875" customWidth="1"/>
    <col min="2" max="2" width="21.54296875" bestFit="1" customWidth="1"/>
  </cols>
  <sheetData>
    <row r="1" spans="1:6" ht="15" thickBot="1" x14ac:dyDescent="0.4">
      <c r="B1" s="19">
        <f>COUNTA(B4:B67)</f>
        <v>57</v>
      </c>
      <c r="C1" s="20"/>
      <c r="D1" s="20">
        <f>COUNTA(D4:D67)</f>
        <v>4</v>
      </c>
      <c r="E1" s="20"/>
      <c r="F1" s="21">
        <f>D1/B1</f>
        <v>7.0175438596491224E-2</v>
      </c>
    </row>
    <row r="3" spans="1:6" x14ac:dyDescent="0.35">
      <c r="A3" s="38" t="s">
        <v>37</v>
      </c>
      <c r="B3" s="39" t="s">
        <v>38</v>
      </c>
      <c r="D3" s="39" t="s">
        <v>39</v>
      </c>
    </row>
    <row r="4" spans="1:6" x14ac:dyDescent="0.35">
      <c r="A4" s="8" t="s">
        <v>267</v>
      </c>
      <c r="B4" s="1" t="s">
        <v>268</v>
      </c>
      <c r="D4" s="1" t="s">
        <v>42</v>
      </c>
    </row>
    <row r="5" spans="1:6" x14ac:dyDescent="0.35">
      <c r="A5" s="8" t="s">
        <v>269</v>
      </c>
      <c r="B5" s="1" t="s">
        <v>270</v>
      </c>
      <c r="D5" s="1" t="s">
        <v>42</v>
      </c>
    </row>
    <row r="6" spans="1:6" x14ac:dyDescent="0.35">
      <c r="A6" s="8" t="s">
        <v>271</v>
      </c>
      <c r="B6" s="1" t="s">
        <v>272</v>
      </c>
      <c r="D6" s="1" t="s">
        <v>42</v>
      </c>
    </row>
    <row r="7" spans="1:6" x14ac:dyDescent="0.35">
      <c r="A7" s="8" t="s">
        <v>273</v>
      </c>
      <c r="B7" s="1" t="s">
        <v>274</v>
      </c>
      <c r="D7" s="1" t="s">
        <v>42</v>
      </c>
    </row>
    <row r="8" spans="1:6" x14ac:dyDescent="0.35">
      <c r="A8" s="8" t="s">
        <v>275</v>
      </c>
      <c r="B8" s="1" t="s">
        <v>77</v>
      </c>
      <c r="D8" s="1"/>
    </row>
    <row r="9" spans="1:6" x14ac:dyDescent="0.35">
      <c r="A9" s="8" t="s">
        <v>276</v>
      </c>
      <c r="B9" s="1" t="s">
        <v>77</v>
      </c>
      <c r="D9" s="1"/>
    </row>
    <row r="10" spans="1:6" x14ac:dyDescent="0.35">
      <c r="A10" s="8" t="s">
        <v>277</v>
      </c>
      <c r="B10" s="1" t="s">
        <v>77</v>
      </c>
      <c r="D10" s="1"/>
    </row>
    <row r="11" spans="1:6" x14ac:dyDescent="0.35">
      <c r="A11" s="8" t="s">
        <v>278</v>
      </c>
      <c r="B11" s="1" t="s">
        <v>110</v>
      </c>
      <c r="D11" s="1"/>
    </row>
    <row r="12" spans="1:6" x14ac:dyDescent="0.35">
      <c r="A12" s="8" t="s">
        <v>279</v>
      </c>
      <c r="B12" s="1" t="s">
        <v>110</v>
      </c>
      <c r="D12" s="1"/>
    </row>
    <row r="13" spans="1:6" x14ac:dyDescent="0.35">
      <c r="A13" s="8"/>
      <c r="B13" s="1"/>
      <c r="D13" s="1"/>
    </row>
    <row r="14" spans="1:6" x14ac:dyDescent="0.35">
      <c r="A14" s="10" t="s">
        <v>280</v>
      </c>
      <c r="B14" s="1"/>
      <c r="D14" s="1"/>
    </row>
    <row r="15" spans="1:6" x14ac:dyDescent="0.35">
      <c r="A15" s="8"/>
      <c r="B15" s="1"/>
      <c r="D15" s="1"/>
    </row>
    <row r="16" spans="1:6" x14ac:dyDescent="0.35">
      <c r="A16" s="8" t="s">
        <v>281</v>
      </c>
      <c r="B16" s="1" t="s">
        <v>282</v>
      </c>
      <c r="D16" s="1"/>
    </row>
    <row r="17" spans="1:4" x14ac:dyDescent="0.35">
      <c r="A17" s="8" t="s">
        <v>283</v>
      </c>
      <c r="B17" s="1" t="s">
        <v>282</v>
      </c>
      <c r="D17" s="1"/>
    </row>
    <row r="18" spans="1:4" x14ac:dyDescent="0.35">
      <c r="A18" s="8" t="s">
        <v>284</v>
      </c>
      <c r="B18" s="1" t="s">
        <v>282</v>
      </c>
      <c r="D18" s="1"/>
    </row>
    <row r="19" spans="1:4" x14ac:dyDescent="0.35">
      <c r="A19" s="8" t="s">
        <v>285</v>
      </c>
      <c r="B19" s="1" t="s">
        <v>282</v>
      </c>
      <c r="D19" s="1"/>
    </row>
    <row r="20" spans="1:4" x14ac:dyDescent="0.35">
      <c r="A20" s="8" t="s">
        <v>286</v>
      </c>
      <c r="B20" s="1" t="s">
        <v>282</v>
      </c>
      <c r="D20" s="1"/>
    </row>
    <row r="21" spans="1:4" x14ac:dyDescent="0.35">
      <c r="A21" s="8" t="s">
        <v>287</v>
      </c>
      <c r="B21" s="1" t="s">
        <v>282</v>
      </c>
      <c r="D21" s="1"/>
    </row>
    <row r="22" spans="1:4" x14ac:dyDescent="0.35">
      <c r="A22" s="8" t="s">
        <v>288</v>
      </c>
      <c r="B22" s="1" t="s">
        <v>282</v>
      </c>
      <c r="D22" s="1"/>
    </row>
    <row r="23" spans="1:4" x14ac:dyDescent="0.35">
      <c r="A23" s="8" t="s">
        <v>289</v>
      </c>
      <c r="B23" s="1" t="s">
        <v>282</v>
      </c>
      <c r="D23" s="1"/>
    </row>
    <row r="24" spans="1:4" x14ac:dyDescent="0.35">
      <c r="A24" s="8" t="s">
        <v>290</v>
      </c>
      <c r="B24" s="1" t="s">
        <v>282</v>
      </c>
      <c r="D24" s="1"/>
    </row>
    <row r="25" spans="1:4" x14ac:dyDescent="0.35">
      <c r="A25" s="8" t="s">
        <v>291</v>
      </c>
      <c r="B25" s="1" t="s">
        <v>282</v>
      </c>
      <c r="D25" s="1"/>
    </row>
    <row r="26" spans="1:4" x14ac:dyDescent="0.35">
      <c r="A26" s="8" t="s">
        <v>292</v>
      </c>
      <c r="B26" s="1" t="s">
        <v>282</v>
      </c>
      <c r="D26" s="1"/>
    </row>
    <row r="27" spans="1:4" x14ac:dyDescent="0.35">
      <c r="A27" s="8" t="s">
        <v>293</v>
      </c>
      <c r="B27" s="1" t="s">
        <v>282</v>
      </c>
      <c r="D27" s="1"/>
    </row>
    <row r="28" spans="1:4" x14ac:dyDescent="0.35">
      <c r="A28" s="8" t="s">
        <v>294</v>
      </c>
      <c r="B28" s="1" t="s">
        <v>282</v>
      </c>
      <c r="D28" s="1"/>
    </row>
    <row r="29" spans="1:4" x14ac:dyDescent="0.35">
      <c r="A29" s="8" t="s">
        <v>295</v>
      </c>
      <c r="B29" s="1" t="s">
        <v>282</v>
      </c>
      <c r="D29" s="1"/>
    </row>
    <row r="30" spans="1:4" x14ac:dyDescent="0.35">
      <c r="A30" s="8" t="s">
        <v>296</v>
      </c>
      <c r="B30" s="1" t="s">
        <v>282</v>
      </c>
      <c r="D30" s="1"/>
    </row>
    <row r="31" spans="1:4" x14ac:dyDescent="0.35">
      <c r="A31" s="8" t="s">
        <v>297</v>
      </c>
      <c r="B31" s="1" t="s">
        <v>282</v>
      </c>
      <c r="D31" s="1"/>
    </row>
    <row r="32" spans="1:4" x14ac:dyDescent="0.35">
      <c r="A32" s="8" t="s">
        <v>298</v>
      </c>
      <c r="B32" s="1" t="s">
        <v>282</v>
      </c>
      <c r="D32" s="1"/>
    </row>
    <row r="33" spans="1:4" x14ac:dyDescent="0.35">
      <c r="A33" s="8" t="s">
        <v>299</v>
      </c>
      <c r="B33" s="1" t="s">
        <v>282</v>
      </c>
      <c r="D33" s="1"/>
    </row>
    <row r="34" spans="1:4" x14ac:dyDescent="0.35">
      <c r="A34" s="8" t="s">
        <v>300</v>
      </c>
      <c r="B34" s="1" t="s">
        <v>282</v>
      </c>
      <c r="D34" s="1"/>
    </row>
    <row r="35" spans="1:4" x14ac:dyDescent="0.35">
      <c r="A35" s="8" t="s">
        <v>301</v>
      </c>
      <c r="B35" s="1" t="s">
        <v>282</v>
      </c>
      <c r="D35" s="1"/>
    </row>
    <row r="36" spans="1:4" x14ac:dyDescent="0.35">
      <c r="A36" s="8" t="s">
        <v>302</v>
      </c>
      <c r="B36" s="1" t="s">
        <v>282</v>
      </c>
      <c r="D36" s="1"/>
    </row>
    <row r="37" spans="1:4" x14ac:dyDescent="0.35">
      <c r="A37" s="8" t="s">
        <v>303</v>
      </c>
      <c r="B37" s="1" t="s">
        <v>282</v>
      </c>
      <c r="D37" s="1"/>
    </row>
    <row r="38" spans="1:4" x14ac:dyDescent="0.35">
      <c r="A38" s="8" t="s">
        <v>304</v>
      </c>
      <c r="B38" s="1" t="s">
        <v>282</v>
      </c>
      <c r="D38" s="1"/>
    </row>
    <row r="39" spans="1:4" x14ac:dyDescent="0.35">
      <c r="A39" s="8" t="s">
        <v>305</v>
      </c>
      <c r="B39" s="1" t="s">
        <v>282</v>
      </c>
      <c r="D39" s="1"/>
    </row>
    <row r="40" spans="1:4" x14ac:dyDescent="0.35">
      <c r="A40" s="8" t="s">
        <v>306</v>
      </c>
      <c r="B40" s="1" t="s">
        <v>282</v>
      </c>
      <c r="D40" s="1"/>
    </row>
    <row r="41" spans="1:4" x14ac:dyDescent="0.35">
      <c r="A41" s="8" t="s">
        <v>307</v>
      </c>
      <c r="B41" s="1" t="s">
        <v>282</v>
      </c>
      <c r="D41" s="1"/>
    </row>
    <row r="42" spans="1:4" x14ac:dyDescent="0.35">
      <c r="A42" s="8" t="s">
        <v>308</v>
      </c>
      <c r="B42" s="1" t="s">
        <v>282</v>
      </c>
      <c r="D42" s="1"/>
    </row>
    <row r="43" spans="1:4" x14ac:dyDescent="0.35">
      <c r="A43" s="8" t="s">
        <v>309</v>
      </c>
      <c r="B43" s="1" t="s">
        <v>282</v>
      </c>
      <c r="D43" s="1"/>
    </row>
    <row r="44" spans="1:4" x14ac:dyDescent="0.35">
      <c r="A44" s="8" t="s">
        <v>310</v>
      </c>
      <c r="B44" s="1" t="s">
        <v>282</v>
      </c>
      <c r="D44" s="1"/>
    </row>
    <row r="45" spans="1:4" x14ac:dyDescent="0.35">
      <c r="A45" s="8" t="s">
        <v>311</v>
      </c>
      <c r="B45" s="1" t="s">
        <v>282</v>
      </c>
      <c r="D45" s="1"/>
    </row>
    <row r="46" spans="1:4" x14ac:dyDescent="0.35">
      <c r="A46" s="8"/>
      <c r="B46" s="1"/>
      <c r="D46" s="1"/>
    </row>
    <row r="47" spans="1:4" x14ac:dyDescent="0.35">
      <c r="A47" s="10" t="s">
        <v>312</v>
      </c>
      <c r="B47" s="1"/>
      <c r="D47" s="1"/>
    </row>
    <row r="48" spans="1:4" x14ac:dyDescent="0.35">
      <c r="A48" s="8"/>
      <c r="B48" s="1"/>
      <c r="D48" s="1"/>
    </row>
    <row r="49" spans="1:4" x14ac:dyDescent="0.35">
      <c r="A49" s="8" t="s">
        <v>313</v>
      </c>
      <c r="B49" s="1" t="s">
        <v>282</v>
      </c>
      <c r="D49" s="1"/>
    </row>
    <row r="50" spans="1:4" x14ac:dyDescent="0.35">
      <c r="A50" s="8" t="s">
        <v>314</v>
      </c>
      <c r="B50" s="1" t="s">
        <v>282</v>
      </c>
      <c r="D50" s="1"/>
    </row>
    <row r="51" spans="1:4" x14ac:dyDescent="0.35">
      <c r="A51" s="8" t="s">
        <v>315</v>
      </c>
      <c r="B51" s="1" t="s">
        <v>282</v>
      </c>
      <c r="D51" s="1"/>
    </row>
    <row r="52" spans="1:4" x14ac:dyDescent="0.35">
      <c r="A52" s="8" t="s">
        <v>316</v>
      </c>
      <c r="B52" s="1" t="s">
        <v>282</v>
      </c>
      <c r="D52" s="1"/>
    </row>
    <row r="53" spans="1:4" x14ac:dyDescent="0.35">
      <c r="A53" s="8" t="s">
        <v>294</v>
      </c>
      <c r="B53" s="1" t="s">
        <v>282</v>
      </c>
      <c r="D53" s="1"/>
    </row>
    <row r="54" spans="1:4" x14ac:dyDescent="0.35">
      <c r="A54" s="8" t="s">
        <v>317</v>
      </c>
      <c r="B54" s="1" t="s">
        <v>282</v>
      </c>
      <c r="D54" s="1"/>
    </row>
    <row r="55" spans="1:4" x14ac:dyDescent="0.35">
      <c r="A55" s="11" t="s">
        <v>297</v>
      </c>
      <c r="B55" s="1" t="s">
        <v>282</v>
      </c>
      <c r="D55" s="1"/>
    </row>
    <row r="56" spans="1:4" x14ac:dyDescent="0.35">
      <c r="A56" s="8" t="s">
        <v>318</v>
      </c>
      <c r="B56" s="1" t="s">
        <v>282</v>
      </c>
      <c r="D56" s="1"/>
    </row>
    <row r="57" spans="1:4" x14ac:dyDescent="0.35">
      <c r="A57" s="8" t="s">
        <v>319</v>
      </c>
      <c r="B57" s="1" t="s">
        <v>282</v>
      </c>
      <c r="D57" s="1"/>
    </row>
    <row r="58" spans="1:4" x14ac:dyDescent="0.35">
      <c r="A58" s="8" t="s">
        <v>320</v>
      </c>
      <c r="B58" s="1" t="s">
        <v>282</v>
      </c>
      <c r="D58" s="1"/>
    </row>
    <row r="59" spans="1:4" x14ac:dyDescent="0.35">
      <c r="A59" s="8" t="s">
        <v>300</v>
      </c>
      <c r="B59" s="1" t="s">
        <v>282</v>
      </c>
      <c r="D59" s="1"/>
    </row>
    <row r="60" spans="1:4" x14ac:dyDescent="0.35">
      <c r="A60" s="8" t="s">
        <v>321</v>
      </c>
      <c r="B60" s="1" t="s">
        <v>282</v>
      </c>
      <c r="D60" s="1"/>
    </row>
    <row r="61" spans="1:4" x14ac:dyDescent="0.35">
      <c r="A61" s="11" t="s">
        <v>303</v>
      </c>
      <c r="B61" s="1" t="s">
        <v>282</v>
      </c>
      <c r="D61" s="1"/>
    </row>
    <row r="62" spans="1:4" x14ac:dyDescent="0.35">
      <c r="A62" s="8" t="s">
        <v>322</v>
      </c>
      <c r="B62" s="1" t="s">
        <v>282</v>
      </c>
      <c r="D62" s="1"/>
    </row>
    <row r="63" spans="1:4" x14ac:dyDescent="0.35">
      <c r="A63" s="8" t="s">
        <v>323</v>
      </c>
      <c r="B63" s="1" t="s">
        <v>282</v>
      </c>
      <c r="D63" s="1"/>
    </row>
    <row r="64" spans="1:4" x14ac:dyDescent="0.35">
      <c r="A64" s="8" t="s">
        <v>324</v>
      </c>
      <c r="B64" s="1" t="s">
        <v>282</v>
      </c>
      <c r="D64" s="1"/>
    </row>
    <row r="65" spans="1:4" x14ac:dyDescent="0.35">
      <c r="A65" s="8"/>
      <c r="B65" s="1"/>
      <c r="D65" s="1"/>
    </row>
    <row r="66" spans="1:4" x14ac:dyDescent="0.35">
      <c r="A66" s="8" t="s">
        <v>325</v>
      </c>
      <c r="B66" s="1" t="s">
        <v>77</v>
      </c>
      <c r="D66" s="1"/>
    </row>
    <row r="67" spans="1:4" x14ac:dyDescent="0.35">
      <c r="A67" s="8" t="s">
        <v>326</v>
      </c>
      <c r="B67" s="1" t="s">
        <v>77</v>
      </c>
      <c r="D67" s="1"/>
    </row>
  </sheetData>
  <pageMargins left="0.7" right="0.7" top="0.75" bottom="0.75" header="0.3" footer="0.3"/>
  <pageSetup paperSize="9" orientation="portrait" r:id="rId1"/>
  <headerFooter>
    <oddFooter>&amp;L_x000D_&amp;1#&amp;"Aptos"&amp;10&amp;K000000 DS SMITH-BUSINESS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8AE5-9020-4BCE-ACC1-AB49C28BBE2E}">
  <sheetPr>
    <tabColor rgb="FF00B050"/>
  </sheetPr>
  <dimension ref="A1:F32"/>
  <sheetViews>
    <sheetView workbookViewId="0">
      <selection activeCell="D3" sqref="D3:D32"/>
    </sheetView>
  </sheetViews>
  <sheetFormatPr defaultColWidth="8.7265625" defaultRowHeight="14.5" x14ac:dyDescent="0.35"/>
  <cols>
    <col min="1" max="1" width="50.54296875" customWidth="1"/>
    <col min="2" max="2" width="25.453125" bestFit="1" customWidth="1"/>
  </cols>
  <sheetData>
    <row r="1" spans="1:6" ht="15" thickBot="1" x14ac:dyDescent="0.4">
      <c r="B1" s="16">
        <f>COUNTA(B4:B32)</f>
        <v>29</v>
      </c>
      <c r="C1" s="17"/>
      <c r="D1" s="17">
        <f>COUNTA(D4:D32)</f>
        <v>10</v>
      </c>
      <c r="E1" s="17"/>
      <c r="F1" s="18">
        <f>D1/B1</f>
        <v>0.34482758620689657</v>
      </c>
    </row>
    <row r="2" spans="1:6" x14ac:dyDescent="0.35">
      <c r="F2" s="14"/>
    </row>
    <row r="3" spans="1:6" x14ac:dyDescent="0.35">
      <c r="A3" s="38" t="s">
        <v>37</v>
      </c>
      <c r="B3" s="39" t="s">
        <v>38</v>
      </c>
      <c r="D3" s="39" t="s">
        <v>39</v>
      </c>
    </row>
    <row r="4" spans="1:6" x14ac:dyDescent="0.35">
      <c r="A4" s="9" t="s">
        <v>327</v>
      </c>
      <c r="B4" s="3" t="s">
        <v>73</v>
      </c>
      <c r="D4" s="1"/>
    </row>
    <row r="5" spans="1:6" x14ac:dyDescent="0.35">
      <c r="A5" s="9" t="s">
        <v>72</v>
      </c>
      <c r="B5" s="3" t="s">
        <v>73</v>
      </c>
      <c r="D5" s="1" t="s">
        <v>42</v>
      </c>
    </row>
    <row r="6" spans="1:6" x14ac:dyDescent="0.35">
      <c r="A6" s="8" t="s">
        <v>70</v>
      </c>
      <c r="B6" s="1" t="s">
        <v>110</v>
      </c>
      <c r="D6" s="1" t="s">
        <v>42</v>
      </c>
    </row>
    <row r="7" spans="1:6" x14ac:dyDescent="0.35">
      <c r="A7" s="8" t="s">
        <v>328</v>
      </c>
      <c r="B7" s="1" t="s">
        <v>329</v>
      </c>
      <c r="D7" s="1" t="s">
        <v>42</v>
      </c>
    </row>
    <row r="8" spans="1:6" x14ac:dyDescent="0.35">
      <c r="A8" s="8" t="s">
        <v>330</v>
      </c>
      <c r="B8" s="1" t="s">
        <v>331</v>
      </c>
      <c r="D8" s="1" t="s">
        <v>42</v>
      </c>
    </row>
    <row r="9" spans="1:6" x14ac:dyDescent="0.35">
      <c r="A9" s="8" t="s">
        <v>332</v>
      </c>
      <c r="B9" s="1" t="s">
        <v>333</v>
      </c>
      <c r="D9" s="1" t="s">
        <v>42</v>
      </c>
    </row>
    <row r="10" spans="1:6" x14ac:dyDescent="0.35">
      <c r="A10" s="8" t="s">
        <v>334</v>
      </c>
      <c r="B10" s="1" t="s">
        <v>110</v>
      </c>
      <c r="D10" s="1"/>
    </row>
    <row r="11" spans="1:6" x14ac:dyDescent="0.35">
      <c r="A11" s="8" t="s">
        <v>335</v>
      </c>
      <c r="B11" s="1" t="s">
        <v>110</v>
      </c>
      <c r="D11" s="1"/>
    </row>
    <row r="12" spans="1:6" x14ac:dyDescent="0.35">
      <c r="A12" s="8" t="s">
        <v>66</v>
      </c>
      <c r="B12" s="1" t="s">
        <v>67</v>
      </c>
      <c r="D12" s="1" t="s">
        <v>42</v>
      </c>
    </row>
    <row r="13" spans="1:6" x14ac:dyDescent="0.35">
      <c r="A13" s="8" t="s">
        <v>68</v>
      </c>
      <c r="B13" s="1" t="s">
        <v>110</v>
      </c>
      <c r="D13" s="1"/>
    </row>
    <row r="14" spans="1:6" x14ac:dyDescent="0.35">
      <c r="A14" s="8" t="s">
        <v>336</v>
      </c>
      <c r="B14" s="1" t="s">
        <v>77</v>
      </c>
      <c r="D14" s="1"/>
    </row>
    <row r="15" spans="1:6" x14ac:dyDescent="0.35">
      <c r="A15" s="8" t="s">
        <v>337</v>
      </c>
      <c r="B15" s="1" t="s">
        <v>77</v>
      </c>
      <c r="D15" s="1"/>
    </row>
    <row r="16" spans="1:6" x14ac:dyDescent="0.35">
      <c r="A16" s="9" t="s">
        <v>338</v>
      </c>
      <c r="B16" s="3" t="s">
        <v>73</v>
      </c>
      <c r="D16" s="1"/>
    </row>
    <row r="17" spans="1:4" x14ac:dyDescent="0.35">
      <c r="A17" s="8" t="s">
        <v>339</v>
      </c>
      <c r="B17" s="1" t="s">
        <v>77</v>
      </c>
      <c r="D17" s="1"/>
    </row>
    <row r="18" spans="1:4" x14ac:dyDescent="0.35">
      <c r="A18" s="8" t="s">
        <v>340</v>
      </c>
      <c r="B18" s="1" t="s">
        <v>341</v>
      </c>
      <c r="D18" s="1" t="s">
        <v>42</v>
      </c>
    </row>
    <row r="19" spans="1:4" x14ac:dyDescent="0.35">
      <c r="A19" s="8" t="s">
        <v>342</v>
      </c>
      <c r="B19" s="1" t="s">
        <v>343</v>
      </c>
      <c r="D19" s="1" t="s">
        <v>42</v>
      </c>
    </row>
    <row r="20" spans="1:4" x14ac:dyDescent="0.35">
      <c r="A20" s="8" t="s">
        <v>344</v>
      </c>
      <c r="B20" s="1" t="s">
        <v>345</v>
      </c>
      <c r="D20" s="1" t="s">
        <v>42</v>
      </c>
    </row>
    <row r="21" spans="1:4" x14ac:dyDescent="0.35">
      <c r="A21" s="8" t="s">
        <v>346</v>
      </c>
      <c r="B21" s="1" t="s">
        <v>347</v>
      </c>
      <c r="D21" s="1" t="s">
        <v>42</v>
      </c>
    </row>
    <row r="22" spans="1:4" x14ac:dyDescent="0.35">
      <c r="A22" s="8" t="s">
        <v>348</v>
      </c>
      <c r="B22" s="1" t="s">
        <v>110</v>
      </c>
      <c r="D22" s="1"/>
    </row>
    <row r="23" spans="1:4" x14ac:dyDescent="0.35">
      <c r="A23" s="8" t="s">
        <v>349</v>
      </c>
      <c r="B23" s="1" t="s">
        <v>110</v>
      </c>
      <c r="D23" s="1"/>
    </row>
    <row r="24" spans="1:4" x14ac:dyDescent="0.35">
      <c r="A24" s="9" t="s">
        <v>350</v>
      </c>
      <c r="B24" s="3" t="s">
        <v>73</v>
      </c>
      <c r="D24" s="1"/>
    </row>
    <row r="25" spans="1:4" x14ac:dyDescent="0.35">
      <c r="A25" s="8" t="s">
        <v>351</v>
      </c>
      <c r="B25" s="1" t="s">
        <v>110</v>
      </c>
      <c r="D25" s="1"/>
    </row>
    <row r="26" spans="1:4" x14ac:dyDescent="0.35">
      <c r="A26" s="8" t="s">
        <v>352</v>
      </c>
      <c r="B26" s="1" t="s">
        <v>110</v>
      </c>
      <c r="D26" s="1"/>
    </row>
    <row r="27" spans="1:4" x14ac:dyDescent="0.35">
      <c r="A27" s="8" t="s">
        <v>353</v>
      </c>
      <c r="B27" s="1" t="s">
        <v>110</v>
      </c>
      <c r="D27" s="1"/>
    </row>
    <row r="28" spans="1:4" x14ac:dyDescent="0.35">
      <c r="A28" s="8" t="s">
        <v>354</v>
      </c>
      <c r="B28" s="1" t="s">
        <v>110</v>
      </c>
      <c r="D28" s="1"/>
    </row>
    <row r="29" spans="1:4" x14ac:dyDescent="0.35">
      <c r="A29" s="8" t="s">
        <v>355</v>
      </c>
      <c r="B29" s="1" t="s">
        <v>110</v>
      </c>
      <c r="D29" s="1"/>
    </row>
    <row r="30" spans="1:4" x14ac:dyDescent="0.35">
      <c r="A30" s="8" t="s">
        <v>356</v>
      </c>
      <c r="B30" s="1" t="s">
        <v>110</v>
      </c>
      <c r="D30" s="1"/>
    </row>
    <row r="31" spans="1:4" x14ac:dyDescent="0.35">
      <c r="A31" s="8" t="s">
        <v>357</v>
      </c>
      <c r="B31" s="1" t="s">
        <v>110</v>
      </c>
      <c r="D31" s="1"/>
    </row>
    <row r="32" spans="1:4" x14ac:dyDescent="0.35">
      <c r="A32" s="9" t="s">
        <v>358</v>
      </c>
      <c r="B32" s="3" t="s">
        <v>110</v>
      </c>
      <c r="D32" s="1"/>
    </row>
  </sheetData>
  <pageMargins left="0.7" right="0.7" top="0.75" bottom="0.75" header="0.3" footer="0.3"/>
  <headerFooter>
    <oddFooter>&amp;L_x000D_&amp;1#&amp;"Aptos"&amp;10&amp;K000000 DS SMITH-BUSINESS USE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799B-9A6A-4A50-8B48-726CB22DCB00}">
  <sheetPr>
    <tabColor rgb="FF00B050"/>
  </sheetPr>
  <dimension ref="A1:F46"/>
  <sheetViews>
    <sheetView workbookViewId="0">
      <selection activeCell="D3" sqref="D3:D46"/>
    </sheetView>
  </sheetViews>
  <sheetFormatPr defaultColWidth="8.7265625" defaultRowHeight="14.5" x14ac:dyDescent="0.35"/>
  <cols>
    <col min="1" max="1" width="50.54296875" customWidth="1"/>
    <col min="2" max="2" width="18.7265625" bestFit="1" customWidth="1"/>
  </cols>
  <sheetData>
    <row r="1" spans="1:6" x14ac:dyDescent="0.35">
      <c r="B1">
        <f>COUNTA(B4:B46)</f>
        <v>43</v>
      </c>
      <c r="D1">
        <f>COUNTA(D4:D46)</f>
        <v>1</v>
      </c>
      <c r="F1" s="14">
        <f>D1/B1</f>
        <v>2.3255813953488372E-2</v>
      </c>
    </row>
    <row r="2" spans="1:6" x14ac:dyDescent="0.35">
      <c r="F2" s="14"/>
    </row>
    <row r="3" spans="1:6" x14ac:dyDescent="0.35">
      <c r="A3" s="38" t="s">
        <v>37</v>
      </c>
      <c r="B3" s="39" t="s">
        <v>38</v>
      </c>
      <c r="D3" s="39" t="s">
        <v>39</v>
      </c>
    </row>
    <row r="4" spans="1:6" x14ac:dyDescent="0.35">
      <c r="A4" s="8" t="s">
        <v>359</v>
      </c>
      <c r="B4" s="1" t="s">
        <v>77</v>
      </c>
      <c r="D4" s="1"/>
    </row>
    <row r="5" spans="1:6" x14ac:dyDescent="0.35">
      <c r="A5" s="8" t="s">
        <v>360</v>
      </c>
      <c r="B5" s="1" t="s">
        <v>77</v>
      </c>
      <c r="D5" s="1"/>
    </row>
    <row r="6" spans="1:6" x14ac:dyDescent="0.35">
      <c r="A6" s="8" t="s">
        <v>361</v>
      </c>
      <c r="B6" s="1" t="s">
        <v>362</v>
      </c>
      <c r="D6" s="1" t="s">
        <v>42</v>
      </c>
    </row>
    <row r="7" spans="1:6" x14ac:dyDescent="0.35">
      <c r="A7" s="8" t="s">
        <v>363</v>
      </c>
      <c r="B7" s="1" t="s">
        <v>77</v>
      </c>
      <c r="D7" s="1"/>
    </row>
    <row r="8" spans="1:6" x14ac:dyDescent="0.35">
      <c r="A8" s="8" t="s">
        <v>364</v>
      </c>
      <c r="B8" s="1" t="s">
        <v>77</v>
      </c>
      <c r="D8" s="1"/>
    </row>
    <row r="9" spans="1:6" x14ac:dyDescent="0.35">
      <c r="A9" s="8" t="s">
        <v>365</v>
      </c>
      <c r="B9" s="1" t="s">
        <v>77</v>
      </c>
      <c r="D9" s="1"/>
    </row>
    <row r="10" spans="1:6" x14ac:dyDescent="0.35">
      <c r="A10" s="8" t="s">
        <v>366</v>
      </c>
      <c r="B10" s="1" t="s">
        <v>77</v>
      </c>
      <c r="D10" s="1"/>
    </row>
    <row r="11" spans="1:6" x14ac:dyDescent="0.35">
      <c r="A11" s="8" t="s">
        <v>367</v>
      </c>
      <c r="B11" s="1" t="s">
        <v>77</v>
      </c>
      <c r="D11" s="1"/>
    </row>
    <row r="12" spans="1:6" x14ac:dyDescent="0.35">
      <c r="A12" s="8" t="s">
        <v>368</v>
      </c>
      <c r="B12" s="1" t="s">
        <v>77</v>
      </c>
      <c r="D12" s="1"/>
    </row>
    <row r="13" spans="1:6" x14ac:dyDescent="0.35">
      <c r="A13" s="8" t="s">
        <v>369</v>
      </c>
      <c r="B13" s="1" t="s">
        <v>77</v>
      </c>
      <c r="D13" s="1"/>
    </row>
    <row r="14" spans="1:6" x14ac:dyDescent="0.35">
      <c r="A14" s="8" t="s">
        <v>370</v>
      </c>
      <c r="B14" s="1" t="s">
        <v>77</v>
      </c>
      <c r="D14" s="1"/>
    </row>
    <row r="15" spans="1:6" x14ac:dyDescent="0.35">
      <c r="A15" s="8" t="s">
        <v>371</v>
      </c>
      <c r="B15" s="1" t="s">
        <v>77</v>
      </c>
      <c r="D15" s="1"/>
    </row>
    <row r="16" spans="1:6" x14ac:dyDescent="0.35">
      <c r="A16" s="8" t="s">
        <v>372</v>
      </c>
      <c r="B16" s="1" t="s">
        <v>77</v>
      </c>
      <c r="D16" s="1"/>
    </row>
    <row r="17" spans="1:4" x14ac:dyDescent="0.35">
      <c r="A17" s="8" t="s">
        <v>373</v>
      </c>
      <c r="B17" s="1" t="s">
        <v>77</v>
      </c>
      <c r="D17" s="1"/>
    </row>
    <row r="18" spans="1:4" x14ac:dyDescent="0.35">
      <c r="A18" s="9" t="s">
        <v>374</v>
      </c>
      <c r="B18" s="5" t="s">
        <v>375</v>
      </c>
      <c r="D18" s="1"/>
    </row>
    <row r="19" spans="1:4" x14ac:dyDescent="0.35">
      <c r="A19" s="11" t="s">
        <v>376</v>
      </c>
      <c r="B19" s="1" t="s">
        <v>77</v>
      </c>
      <c r="D19" s="1"/>
    </row>
    <row r="20" spans="1:4" x14ac:dyDescent="0.35">
      <c r="A20" s="8" t="s">
        <v>377</v>
      </c>
      <c r="B20" s="1" t="s">
        <v>77</v>
      </c>
      <c r="D20" s="1"/>
    </row>
    <row r="21" spans="1:4" x14ac:dyDescent="0.35">
      <c r="A21" s="8" t="s">
        <v>378</v>
      </c>
      <c r="B21" s="1" t="s">
        <v>77</v>
      </c>
      <c r="D21" s="1"/>
    </row>
    <row r="22" spans="1:4" x14ac:dyDescent="0.35">
      <c r="A22" s="8" t="s">
        <v>379</v>
      </c>
      <c r="B22" s="1" t="s">
        <v>77</v>
      </c>
      <c r="D22" s="1"/>
    </row>
    <row r="23" spans="1:4" x14ac:dyDescent="0.35">
      <c r="A23" s="8" t="s">
        <v>380</v>
      </c>
      <c r="B23" s="1" t="s">
        <v>77</v>
      </c>
      <c r="D23" s="1"/>
    </row>
    <row r="24" spans="1:4" x14ac:dyDescent="0.35">
      <c r="A24" s="8" t="s">
        <v>381</v>
      </c>
      <c r="B24" s="1" t="s">
        <v>77</v>
      </c>
      <c r="D24" s="1"/>
    </row>
    <row r="25" spans="1:4" x14ac:dyDescent="0.35">
      <c r="A25" s="8" t="s">
        <v>382</v>
      </c>
      <c r="B25" s="1" t="s">
        <v>77</v>
      </c>
      <c r="D25" s="1"/>
    </row>
    <row r="26" spans="1:4" x14ac:dyDescent="0.35">
      <c r="A26" s="8" t="s">
        <v>383</v>
      </c>
      <c r="B26" s="1" t="s">
        <v>77</v>
      </c>
      <c r="D26" s="1"/>
    </row>
    <row r="27" spans="1:4" x14ac:dyDescent="0.35">
      <c r="A27" s="8" t="s">
        <v>384</v>
      </c>
      <c r="B27" s="1" t="s">
        <v>77</v>
      </c>
      <c r="D27" s="1"/>
    </row>
    <row r="28" spans="1:4" x14ac:dyDescent="0.35">
      <c r="A28" s="8" t="s">
        <v>385</v>
      </c>
      <c r="B28" s="1" t="s">
        <v>77</v>
      </c>
      <c r="D28" s="1"/>
    </row>
    <row r="29" spans="1:4" x14ac:dyDescent="0.35">
      <c r="A29" s="8" t="s">
        <v>386</v>
      </c>
      <c r="B29" s="1" t="s">
        <v>77</v>
      </c>
      <c r="D29" s="1"/>
    </row>
    <row r="30" spans="1:4" x14ac:dyDescent="0.35">
      <c r="A30" s="8" t="s">
        <v>387</v>
      </c>
      <c r="B30" s="1" t="s">
        <v>77</v>
      </c>
      <c r="D30" s="1"/>
    </row>
    <row r="31" spans="1:4" x14ac:dyDescent="0.35">
      <c r="A31" s="8" t="s">
        <v>388</v>
      </c>
      <c r="B31" s="1" t="s">
        <v>77</v>
      </c>
      <c r="D31" s="1"/>
    </row>
    <row r="32" spans="1:4" x14ac:dyDescent="0.35">
      <c r="A32" s="8" t="s">
        <v>389</v>
      </c>
      <c r="B32" s="1" t="s">
        <v>77</v>
      </c>
      <c r="D32" s="1"/>
    </row>
    <row r="33" spans="1:4" x14ac:dyDescent="0.35">
      <c r="A33" s="8" t="s">
        <v>390</v>
      </c>
      <c r="B33" s="1" t="s">
        <v>77</v>
      </c>
      <c r="D33" s="1"/>
    </row>
    <row r="34" spans="1:4" x14ac:dyDescent="0.35">
      <c r="A34" s="8" t="s">
        <v>391</v>
      </c>
      <c r="B34" s="1" t="s">
        <v>77</v>
      </c>
      <c r="D34" s="1"/>
    </row>
    <row r="35" spans="1:4" x14ac:dyDescent="0.35">
      <c r="A35" s="8" t="s">
        <v>392</v>
      </c>
      <c r="B35" s="1" t="s">
        <v>77</v>
      </c>
      <c r="D35" s="1"/>
    </row>
    <row r="36" spans="1:4" x14ac:dyDescent="0.35">
      <c r="A36" s="8" t="s">
        <v>393</v>
      </c>
      <c r="B36" s="1" t="s">
        <v>77</v>
      </c>
      <c r="D36" s="1"/>
    </row>
    <row r="37" spans="1:4" x14ac:dyDescent="0.35">
      <c r="A37" s="8" t="s">
        <v>394</v>
      </c>
      <c r="B37" s="1" t="s">
        <v>77</v>
      </c>
      <c r="D37" s="1"/>
    </row>
    <row r="38" spans="1:4" x14ac:dyDescent="0.35">
      <c r="A38" s="8" t="s">
        <v>395</v>
      </c>
      <c r="B38" s="1" t="s">
        <v>77</v>
      </c>
      <c r="D38" s="1"/>
    </row>
    <row r="39" spans="1:4" x14ac:dyDescent="0.35">
      <c r="A39" s="8" t="s">
        <v>396</v>
      </c>
      <c r="B39" s="1" t="s">
        <v>77</v>
      </c>
      <c r="D39" s="1"/>
    </row>
    <row r="40" spans="1:4" x14ac:dyDescent="0.35">
      <c r="A40" s="8" t="s">
        <v>397</v>
      </c>
      <c r="B40" s="1" t="s">
        <v>77</v>
      </c>
      <c r="D40" s="1"/>
    </row>
    <row r="41" spans="1:4" x14ac:dyDescent="0.35">
      <c r="A41" s="8" t="s">
        <v>398</v>
      </c>
      <c r="B41" s="1" t="s">
        <v>77</v>
      </c>
      <c r="D41" s="1"/>
    </row>
    <row r="42" spans="1:4" x14ac:dyDescent="0.35">
      <c r="A42" s="8" t="s">
        <v>399</v>
      </c>
      <c r="B42" s="1" t="s">
        <v>77</v>
      </c>
      <c r="D42" s="1"/>
    </row>
    <row r="43" spans="1:4" x14ac:dyDescent="0.35">
      <c r="A43" s="8" t="s">
        <v>400</v>
      </c>
      <c r="B43" s="1" t="s">
        <v>77</v>
      </c>
      <c r="D43" s="1"/>
    </row>
    <row r="44" spans="1:4" x14ac:dyDescent="0.35">
      <c r="A44" s="8" t="s">
        <v>401</v>
      </c>
      <c r="B44" s="1" t="s">
        <v>77</v>
      </c>
      <c r="D44" s="1"/>
    </row>
    <row r="45" spans="1:4" x14ac:dyDescent="0.35">
      <c r="A45" s="8" t="s">
        <v>402</v>
      </c>
      <c r="B45" s="1" t="s">
        <v>77</v>
      </c>
      <c r="D45" s="1"/>
    </row>
    <row r="46" spans="1:4" x14ac:dyDescent="0.35">
      <c r="A46" s="8" t="s">
        <v>403</v>
      </c>
      <c r="B46" s="1" t="s">
        <v>77</v>
      </c>
      <c r="D46" s="1"/>
    </row>
  </sheetData>
  <pageMargins left="0.7" right="0.7" top="0.75" bottom="0.75" header="0.3" footer="0.3"/>
  <headerFooter>
    <oddFooter>&amp;L_x000D_&amp;1#&amp;"Aptos"&amp;10&amp;K000000 DS SMITH-BUSINESS USE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22A0-1024-4D4D-BBDF-D661E6354943}">
  <sheetPr>
    <tabColor rgb="FF00B050"/>
  </sheetPr>
  <dimension ref="A1:F79"/>
  <sheetViews>
    <sheetView workbookViewId="0">
      <selection activeCell="D3" sqref="D3:D79"/>
    </sheetView>
  </sheetViews>
  <sheetFormatPr defaultColWidth="8.7265625" defaultRowHeight="14.5" x14ac:dyDescent="0.35"/>
  <cols>
    <col min="1" max="1" width="50.54296875" customWidth="1"/>
    <col min="2" max="2" width="21.1796875" bestFit="1" customWidth="1"/>
  </cols>
  <sheetData>
    <row r="1" spans="1:6" ht="15" thickBot="1" x14ac:dyDescent="0.4">
      <c r="B1" s="19">
        <f>COUNTA(B4:B75)</f>
        <v>72</v>
      </c>
      <c r="C1" s="20"/>
      <c r="D1" s="20">
        <f>COUNTA(D4:D75)</f>
        <v>6</v>
      </c>
      <c r="E1" s="20"/>
      <c r="F1" s="21">
        <f>D1/B1</f>
        <v>8.3333333333333329E-2</v>
      </c>
    </row>
    <row r="3" spans="1:6" x14ac:dyDescent="0.35">
      <c r="A3" s="38" t="s">
        <v>37</v>
      </c>
      <c r="B3" s="39" t="s">
        <v>38</v>
      </c>
      <c r="D3" s="39" t="s">
        <v>39</v>
      </c>
    </row>
    <row r="4" spans="1:6" x14ac:dyDescent="0.35">
      <c r="A4" s="6" t="s">
        <v>404</v>
      </c>
      <c r="B4" s="5" t="s">
        <v>375</v>
      </c>
      <c r="D4" s="1"/>
    </row>
    <row r="5" spans="1:6" x14ac:dyDescent="0.35">
      <c r="A5" s="11" t="s">
        <v>405</v>
      </c>
      <c r="B5" s="1" t="s">
        <v>77</v>
      </c>
      <c r="D5" s="1"/>
    </row>
    <row r="6" spans="1:6" x14ac:dyDescent="0.35">
      <c r="A6" s="11" t="s">
        <v>406</v>
      </c>
      <c r="B6" s="1" t="s">
        <v>77</v>
      </c>
      <c r="D6" s="1"/>
    </row>
    <row r="7" spans="1:6" x14ac:dyDescent="0.35">
      <c r="A7" s="11" t="s">
        <v>407</v>
      </c>
      <c r="B7" s="1" t="s">
        <v>77</v>
      </c>
      <c r="D7" s="1"/>
    </row>
    <row r="8" spans="1:6" x14ac:dyDescent="0.35">
      <c r="A8" s="11" t="s">
        <v>408</v>
      </c>
      <c r="B8" s="1" t="s">
        <v>77</v>
      </c>
      <c r="D8" s="1"/>
    </row>
    <row r="9" spans="1:6" x14ac:dyDescent="0.35">
      <c r="A9" s="11" t="s">
        <v>409</v>
      </c>
      <c r="B9" s="1" t="s">
        <v>77</v>
      </c>
      <c r="D9" s="1"/>
    </row>
    <row r="10" spans="1:6" x14ac:dyDescent="0.35">
      <c r="A10" s="11" t="s">
        <v>410</v>
      </c>
      <c r="B10" s="1" t="s">
        <v>77</v>
      </c>
      <c r="D10" s="1"/>
    </row>
    <row r="11" spans="1:6" x14ac:dyDescent="0.35">
      <c r="A11" s="11" t="s">
        <v>411</v>
      </c>
      <c r="B11" s="1" t="s">
        <v>77</v>
      </c>
      <c r="D11" s="1"/>
    </row>
    <row r="12" spans="1:6" x14ac:dyDescent="0.35">
      <c r="A12" s="11" t="s">
        <v>412</v>
      </c>
      <c r="B12" s="1" t="s">
        <v>77</v>
      </c>
      <c r="D12" s="1"/>
    </row>
    <row r="13" spans="1:6" x14ac:dyDescent="0.35">
      <c r="A13" s="11" t="s">
        <v>413</v>
      </c>
      <c r="B13" s="1" t="s">
        <v>77</v>
      </c>
      <c r="D13" s="1"/>
    </row>
    <row r="14" spans="1:6" x14ac:dyDescent="0.35">
      <c r="A14" s="11" t="s">
        <v>414</v>
      </c>
      <c r="B14" s="1" t="s">
        <v>77</v>
      </c>
      <c r="D14" s="1"/>
    </row>
    <row r="15" spans="1:6" x14ac:dyDescent="0.35">
      <c r="A15" s="11" t="s">
        <v>415</v>
      </c>
      <c r="B15" s="1" t="s">
        <v>77</v>
      </c>
      <c r="D15" s="1"/>
    </row>
    <row r="16" spans="1:6" x14ac:dyDescent="0.35">
      <c r="A16" s="11" t="s">
        <v>416</v>
      </c>
      <c r="B16" s="1" t="s">
        <v>77</v>
      </c>
      <c r="D16" s="1"/>
    </row>
    <row r="17" spans="1:4" x14ac:dyDescent="0.35">
      <c r="A17" s="11" t="s">
        <v>417</v>
      </c>
      <c r="B17" s="1" t="s">
        <v>77</v>
      </c>
      <c r="D17" s="1"/>
    </row>
    <row r="18" spans="1:4" x14ac:dyDescent="0.35">
      <c r="A18" s="11" t="s">
        <v>418</v>
      </c>
      <c r="B18" s="1" t="s">
        <v>77</v>
      </c>
      <c r="D18" s="1"/>
    </row>
    <row r="19" spans="1:4" x14ac:dyDescent="0.35">
      <c r="A19" s="11" t="s">
        <v>419</v>
      </c>
      <c r="B19" s="1" t="s">
        <v>77</v>
      </c>
      <c r="D19" s="1"/>
    </row>
    <row r="20" spans="1:4" x14ac:dyDescent="0.35">
      <c r="A20" s="11" t="s">
        <v>420</v>
      </c>
      <c r="B20" s="1" t="s">
        <v>77</v>
      </c>
      <c r="D20" s="1"/>
    </row>
    <row r="21" spans="1:4" x14ac:dyDescent="0.35">
      <c r="A21" s="11" t="s">
        <v>421</v>
      </c>
      <c r="B21" s="1" t="s">
        <v>77</v>
      </c>
      <c r="D21" s="1"/>
    </row>
    <row r="22" spans="1:4" x14ac:dyDescent="0.35">
      <c r="A22" s="11" t="s">
        <v>422</v>
      </c>
      <c r="B22" s="1" t="s">
        <v>77</v>
      </c>
      <c r="D22" s="1"/>
    </row>
    <row r="23" spans="1:4" x14ac:dyDescent="0.35">
      <c r="A23" s="11" t="s">
        <v>423</v>
      </c>
      <c r="B23" s="1" t="s">
        <v>77</v>
      </c>
      <c r="D23" s="1"/>
    </row>
    <row r="24" spans="1:4" x14ac:dyDescent="0.35">
      <c r="A24" s="11" t="s">
        <v>424</v>
      </c>
      <c r="B24" s="1" t="s">
        <v>77</v>
      </c>
      <c r="D24" s="1"/>
    </row>
    <row r="25" spans="1:4" x14ac:dyDescent="0.35">
      <c r="A25" s="11" t="s">
        <v>425</v>
      </c>
      <c r="B25" s="1" t="s">
        <v>77</v>
      </c>
      <c r="D25" s="1"/>
    </row>
    <row r="26" spans="1:4" x14ac:dyDescent="0.35">
      <c r="A26" s="11" t="s">
        <v>426</v>
      </c>
      <c r="B26" s="1" t="s">
        <v>77</v>
      </c>
      <c r="D26" s="1"/>
    </row>
    <row r="27" spans="1:4" x14ac:dyDescent="0.35">
      <c r="A27" s="11" t="s">
        <v>427</v>
      </c>
      <c r="B27" s="1" t="s">
        <v>77</v>
      </c>
      <c r="D27" s="1"/>
    </row>
    <row r="28" spans="1:4" x14ac:dyDescent="0.35">
      <c r="A28" s="11" t="s">
        <v>428</v>
      </c>
      <c r="B28" s="1" t="s">
        <v>77</v>
      </c>
      <c r="D28" s="1"/>
    </row>
    <row r="29" spans="1:4" x14ac:dyDescent="0.35">
      <c r="A29" s="11" t="s">
        <v>429</v>
      </c>
      <c r="B29" s="1" t="s">
        <v>77</v>
      </c>
      <c r="D29" s="1"/>
    </row>
    <row r="30" spans="1:4" x14ac:dyDescent="0.35">
      <c r="A30" s="11" t="s">
        <v>430</v>
      </c>
      <c r="B30" s="1" t="s">
        <v>77</v>
      </c>
      <c r="D30" s="1"/>
    </row>
    <row r="31" spans="1:4" x14ac:dyDescent="0.35">
      <c r="A31" s="11" t="s">
        <v>431</v>
      </c>
      <c r="B31" s="1" t="s">
        <v>77</v>
      </c>
      <c r="D31" s="1"/>
    </row>
    <row r="32" spans="1:4" x14ac:dyDescent="0.35">
      <c r="A32" s="11" t="s">
        <v>432</v>
      </c>
      <c r="B32" s="1" t="s">
        <v>77</v>
      </c>
      <c r="D32" s="1"/>
    </row>
    <row r="33" spans="1:4" x14ac:dyDescent="0.35">
      <c r="A33" s="11" t="s">
        <v>433</v>
      </c>
      <c r="B33" s="1" t="s">
        <v>77</v>
      </c>
      <c r="D33" s="1"/>
    </row>
    <row r="34" spans="1:4" x14ac:dyDescent="0.35">
      <c r="A34" s="11" t="s">
        <v>434</v>
      </c>
      <c r="B34" s="1" t="s">
        <v>77</v>
      </c>
      <c r="D34" s="1"/>
    </row>
    <row r="35" spans="1:4" x14ac:dyDescent="0.35">
      <c r="A35" s="11" t="s">
        <v>435</v>
      </c>
      <c r="B35" s="1" t="s">
        <v>77</v>
      </c>
      <c r="D35" s="1"/>
    </row>
    <row r="36" spans="1:4" x14ac:dyDescent="0.35">
      <c r="A36" s="11" t="s">
        <v>436</v>
      </c>
      <c r="B36" s="1" t="s">
        <v>77</v>
      </c>
      <c r="D36" s="1"/>
    </row>
    <row r="37" spans="1:4" x14ac:dyDescent="0.35">
      <c r="A37" s="11" t="s">
        <v>437</v>
      </c>
      <c r="B37" s="1" t="s">
        <v>77</v>
      </c>
      <c r="D37" s="1"/>
    </row>
    <row r="38" spans="1:4" x14ac:dyDescent="0.35">
      <c r="A38" s="11" t="s">
        <v>438</v>
      </c>
      <c r="B38" s="1" t="s">
        <v>439</v>
      </c>
      <c r="D38" s="1" t="s">
        <v>42</v>
      </c>
    </row>
    <row r="39" spans="1:4" x14ac:dyDescent="0.35">
      <c r="A39" s="11" t="s">
        <v>440</v>
      </c>
      <c r="B39" s="1" t="s">
        <v>441</v>
      </c>
      <c r="D39" s="1" t="s">
        <v>42</v>
      </c>
    </row>
    <row r="40" spans="1:4" x14ac:dyDescent="0.35">
      <c r="A40" s="11" t="s">
        <v>442</v>
      </c>
      <c r="B40" s="1" t="s">
        <v>443</v>
      </c>
      <c r="D40" s="1" t="s">
        <v>42</v>
      </c>
    </row>
    <row r="41" spans="1:4" x14ac:dyDescent="0.35">
      <c r="A41" s="11" t="s">
        <v>444</v>
      </c>
      <c r="B41" s="1" t="s">
        <v>445</v>
      </c>
      <c r="D41" s="1" t="s">
        <v>42</v>
      </c>
    </row>
    <row r="42" spans="1:4" x14ac:dyDescent="0.35">
      <c r="A42" s="11" t="s">
        <v>446</v>
      </c>
      <c r="B42" s="1" t="s">
        <v>447</v>
      </c>
      <c r="D42" s="1" t="s">
        <v>42</v>
      </c>
    </row>
    <row r="43" spans="1:4" x14ac:dyDescent="0.35">
      <c r="A43" s="11" t="s">
        <v>448</v>
      </c>
      <c r="B43" s="1" t="s">
        <v>449</v>
      </c>
      <c r="D43" s="1" t="s">
        <v>42</v>
      </c>
    </row>
    <row r="44" spans="1:4" x14ac:dyDescent="0.35">
      <c r="A44" s="11" t="s">
        <v>450</v>
      </c>
      <c r="B44" s="1" t="s">
        <v>77</v>
      </c>
      <c r="D44" s="1"/>
    </row>
    <row r="45" spans="1:4" x14ac:dyDescent="0.35">
      <c r="A45" s="11" t="s">
        <v>451</v>
      </c>
      <c r="B45" s="1" t="s">
        <v>77</v>
      </c>
      <c r="D45" s="1"/>
    </row>
    <row r="46" spans="1:4" x14ac:dyDescent="0.35">
      <c r="A46" s="11" t="s">
        <v>452</v>
      </c>
      <c r="B46" s="1" t="s">
        <v>77</v>
      </c>
      <c r="D46" s="1"/>
    </row>
    <row r="47" spans="1:4" x14ac:dyDescent="0.35">
      <c r="A47" s="11" t="s">
        <v>453</v>
      </c>
      <c r="B47" s="1" t="s">
        <v>77</v>
      </c>
      <c r="D47" s="1"/>
    </row>
    <row r="48" spans="1:4" x14ac:dyDescent="0.35">
      <c r="A48" s="11" t="s">
        <v>454</v>
      </c>
      <c r="B48" s="1" t="s">
        <v>77</v>
      </c>
      <c r="D48" s="1"/>
    </row>
    <row r="49" spans="1:4" x14ac:dyDescent="0.35">
      <c r="A49" s="11" t="s">
        <v>455</v>
      </c>
      <c r="B49" s="1" t="s">
        <v>77</v>
      </c>
      <c r="D49" s="1"/>
    </row>
    <row r="50" spans="1:4" x14ac:dyDescent="0.35">
      <c r="A50" s="11" t="s">
        <v>456</v>
      </c>
      <c r="B50" s="1" t="s">
        <v>77</v>
      </c>
      <c r="D50" s="1"/>
    </row>
    <row r="51" spans="1:4" x14ac:dyDescent="0.35">
      <c r="A51" s="11" t="s">
        <v>457</v>
      </c>
      <c r="B51" s="1" t="s">
        <v>77</v>
      </c>
      <c r="D51" s="1"/>
    </row>
    <row r="52" spans="1:4" x14ac:dyDescent="0.35">
      <c r="A52" s="11" t="s">
        <v>458</v>
      </c>
      <c r="B52" s="1" t="s">
        <v>77</v>
      </c>
      <c r="D52" s="1"/>
    </row>
    <row r="53" spans="1:4" x14ac:dyDescent="0.35">
      <c r="A53" s="11" t="s">
        <v>459</v>
      </c>
      <c r="B53" s="1" t="s">
        <v>77</v>
      </c>
      <c r="D53" s="1"/>
    </row>
    <row r="54" spans="1:4" x14ac:dyDescent="0.35">
      <c r="A54" s="11" t="s">
        <v>460</v>
      </c>
      <c r="B54" s="1" t="s">
        <v>77</v>
      </c>
      <c r="D54" s="1"/>
    </row>
    <row r="55" spans="1:4" x14ac:dyDescent="0.35">
      <c r="A55" s="11" t="s">
        <v>461</v>
      </c>
      <c r="B55" s="1" t="s">
        <v>77</v>
      </c>
      <c r="D55" s="1"/>
    </row>
    <row r="56" spans="1:4" x14ac:dyDescent="0.35">
      <c r="A56" s="6" t="s">
        <v>462</v>
      </c>
      <c r="B56" s="5" t="s">
        <v>375</v>
      </c>
      <c r="D56" s="1"/>
    </row>
    <row r="57" spans="1:4" x14ac:dyDescent="0.35">
      <c r="A57" s="6" t="s">
        <v>117</v>
      </c>
      <c r="B57" s="5" t="s">
        <v>375</v>
      </c>
      <c r="D57" s="1"/>
    </row>
    <row r="58" spans="1:4" x14ac:dyDescent="0.35">
      <c r="A58" s="6" t="s">
        <v>463</v>
      </c>
      <c r="B58" s="5" t="s">
        <v>375</v>
      </c>
      <c r="D58" s="1"/>
    </row>
    <row r="59" spans="1:4" x14ac:dyDescent="0.35">
      <c r="A59" s="11" t="s">
        <v>464</v>
      </c>
      <c r="B59" s="1" t="s">
        <v>77</v>
      </c>
      <c r="D59" s="1"/>
    </row>
    <row r="60" spans="1:4" x14ac:dyDescent="0.35">
      <c r="A60" s="11" t="s">
        <v>465</v>
      </c>
      <c r="B60" s="1" t="s">
        <v>77</v>
      </c>
      <c r="D60" s="1"/>
    </row>
    <row r="61" spans="1:4" x14ac:dyDescent="0.35">
      <c r="A61" s="6" t="s">
        <v>466</v>
      </c>
      <c r="B61" s="5" t="s">
        <v>375</v>
      </c>
      <c r="D61" s="1"/>
    </row>
    <row r="62" spans="1:4" x14ac:dyDescent="0.35">
      <c r="A62" s="6" t="s">
        <v>467</v>
      </c>
      <c r="B62" s="5" t="s">
        <v>375</v>
      </c>
      <c r="D62" s="1"/>
    </row>
    <row r="63" spans="1:4" x14ac:dyDescent="0.35">
      <c r="A63" s="11" t="s">
        <v>468</v>
      </c>
      <c r="B63" s="1" t="s">
        <v>77</v>
      </c>
      <c r="D63" s="1"/>
    </row>
    <row r="64" spans="1:4" x14ac:dyDescent="0.35">
      <c r="A64" s="11" t="s">
        <v>469</v>
      </c>
      <c r="B64" s="1" t="s">
        <v>77</v>
      </c>
      <c r="D64" s="1"/>
    </row>
    <row r="65" spans="1:4" x14ac:dyDescent="0.35">
      <c r="A65" s="6" t="s">
        <v>470</v>
      </c>
      <c r="B65" s="5" t="s">
        <v>375</v>
      </c>
      <c r="D65" s="1"/>
    </row>
    <row r="66" spans="1:4" x14ac:dyDescent="0.35">
      <c r="A66" s="6" t="s">
        <v>471</v>
      </c>
      <c r="B66" s="5" t="s">
        <v>375</v>
      </c>
      <c r="D66" s="1"/>
    </row>
    <row r="67" spans="1:4" x14ac:dyDescent="0.35">
      <c r="A67" s="11" t="s">
        <v>472</v>
      </c>
      <c r="B67" s="1" t="s">
        <v>77</v>
      </c>
      <c r="D67" s="1"/>
    </row>
    <row r="68" spans="1:4" x14ac:dyDescent="0.35">
      <c r="A68" s="11" t="s">
        <v>473</v>
      </c>
      <c r="B68" s="1" t="s">
        <v>77</v>
      </c>
      <c r="D68" s="1"/>
    </row>
    <row r="69" spans="1:4" x14ac:dyDescent="0.35">
      <c r="A69" s="6" t="s">
        <v>474</v>
      </c>
      <c r="B69" s="5" t="s">
        <v>375</v>
      </c>
      <c r="D69" s="1"/>
    </row>
    <row r="70" spans="1:4" x14ac:dyDescent="0.35">
      <c r="A70" s="6" t="s">
        <v>475</v>
      </c>
      <c r="B70" s="5" t="s">
        <v>375</v>
      </c>
      <c r="D70" s="1"/>
    </row>
    <row r="71" spans="1:4" x14ac:dyDescent="0.35">
      <c r="A71" s="11" t="s">
        <v>476</v>
      </c>
      <c r="B71" s="1" t="s">
        <v>77</v>
      </c>
      <c r="D71" s="1"/>
    </row>
    <row r="72" spans="1:4" x14ac:dyDescent="0.35">
      <c r="A72" s="11" t="s">
        <v>477</v>
      </c>
      <c r="B72" s="1" t="s">
        <v>77</v>
      </c>
      <c r="D72" s="1"/>
    </row>
    <row r="73" spans="1:4" x14ac:dyDescent="0.35">
      <c r="A73" s="11" t="s">
        <v>478</v>
      </c>
      <c r="B73" s="1" t="s">
        <v>77</v>
      </c>
      <c r="D73" s="1"/>
    </row>
    <row r="74" spans="1:4" x14ac:dyDescent="0.35">
      <c r="A74" s="11" t="s">
        <v>479</v>
      </c>
      <c r="B74" s="1" t="s">
        <v>77</v>
      </c>
      <c r="D74" s="1"/>
    </row>
    <row r="75" spans="1:4" x14ac:dyDescent="0.35">
      <c r="A75" s="11" t="s">
        <v>480</v>
      </c>
      <c r="B75" s="1" t="s">
        <v>77</v>
      </c>
      <c r="D75" s="1"/>
    </row>
    <row r="76" spans="1:4" x14ac:dyDescent="0.35">
      <c r="A76" s="11"/>
      <c r="B76" s="1"/>
      <c r="D76" s="1"/>
    </row>
    <row r="77" spans="1:4" x14ac:dyDescent="0.35">
      <c r="A77" s="11"/>
      <c r="B77" s="1"/>
      <c r="D77" s="1"/>
    </row>
    <row r="78" spans="1:4" x14ac:dyDescent="0.35">
      <c r="A78" s="11"/>
      <c r="B78" s="1"/>
      <c r="D78" s="1"/>
    </row>
    <row r="79" spans="1:4" x14ac:dyDescent="0.35">
      <c r="A79" s="11"/>
      <c r="B79" s="1"/>
      <c r="D79" s="1"/>
    </row>
  </sheetData>
  <pageMargins left="0.7" right="0.7" top="0.75" bottom="0.75" header="0.3" footer="0.3"/>
  <pageSetup paperSize="9" orientation="portrait" r:id="rId1"/>
  <headerFooter>
    <oddFooter>&amp;L_x000D_&amp;1#&amp;"Aptos"&amp;10&amp;K000000 DS SMITH-BUSINESS USE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CDF5-85F0-4CBB-952A-F099243AA3F2}">
  <sheetPr>
    <tabColor rgb="FF00B050"/>
  </sheetPr>
  <dimension ref="A1:F49"/>
  <sheetViews>
    <sheetView workbookViewId="0">
      <selection activeCell="D3" sqref="D3:D49"/>
    </sheetView>
  </sheetViews>
  <sheetFormatPr defaultColWidth="8.7265625" defaultRowHeight="14.5" x14ac:dyDescent="0.35"/>
  <cols>
    <col min="1" max="1" width="50.54296875" customWidth="1"/>
    <col min="2" max="2" width="10.81640625" bestFit="1" customWidth="1"/>
  </cols>
  <sheetData>
    <row r="1" spans="1:6" ht="15" thickBot="1" x14ac:dyDescent="0.4">
      <c r="B1" s="19">
        <f>COUNTA(B4:B75)</f>
        <v>46</v>
      </c>
      <c r="C1" s="20"/>
      <c r="D1" s="20">
        <f>COUNTA(D4:D75)</f>
        <v>0</v>
      </c>
      <c r="E1" s="20"/>
      <c r="F1" s="21">
        <f>D1/B1</f>
        <v>0</v>
      </c>
    </row>
    <row r="2" spans="1:6" x14ac:dyDescent="0.35">
      <c r="F2" s="14"/>
    </row>
    <row r="3" spans="1:6" x14ac:dyDescent="0.35">
      <c r="A3" s="38" t="s">
        <v>37</v>
      </c>
      <c r="B3" s="39" t="s">
        <v>38</v>
      </c>
      <c r="D3" s="39" t="s">
        <v>39</v>
      </c>
    </row>
    <row r="4" spans="1:6" x14ac:dyDescent="0.35">
      <c r="A4" s="11" t="s">
        <v>481</v>
      </c>
      <c r="B4" s="1" t="s">
        <v>77</v>
      </c>
      <c r="D4" s="1"/>
    </row>
    <row r="5" spans="1:6" x14ac:dyDescent="0.35">
      <c r="A5" s="8" t="s">
        <v>482</v>
      </c>
      <c r="B5" s="1" t="s">
        <v>77</v>
      </c>
      <c r="D5" s="1"/>
    </row>
    <row r="6" spans="1:6" x14ac:dyDescent="0.35">
      <c r="A6" s="8" t="s">
        <v>483</v>
      </c>
      <c r="B6" s="1" t="s">
        <v>77</v>
      </c>
      <c r="D6" s="1"/>
    </row>
    <row r="7" spans="1:6" x14ac:dyDescent="0.35">
      <c r="A7" s="8" t="s">
        <v>484</v>
      </c>
      <c r="B7" s="1" t="s">
        <v>77</v>
      </c>
      <c r="D7" s="1"/>
    </row>
    <row r="8" spans="1:6" x14ac:dyDescent="0.35">
      <c r="A8" s="8" t="s">
        <v>485</v>
      </c>
      <c r="B8" s="1" t="s">
        <v>77</v>
      </c>
      <c r="D8" s="1"/>
    </row>
    <row r="9" spans="1:6" x14ac:dyDescent="0.35">
      <c r="A9" s="8" t="s">
        <v>486</v>
      </c>
      <c r="B9" s="1" t="s">
        <v>77</v>
      </c>
      <c r="D9" s="1"/>
    </row>
    <row r="10" spans="1:6" x14ac:dyDescent="0.35">
      <c r="A10" s="8" t="s">
        <v>487</v>
      </c>
      <c r="B10" s="1" t="s">
        <v>77</v>
      </c>
      <c r="D10" s="1"/>
    </row>
    <row r="11" spans="1:6" x14ac:dyDescent="0.35">
      <c r="A11" s="8" t="s">
        <v>488</v>
      </c>
      <c r="B11" s="1" t="s">
        <v>77</v>
      </c>
      <c r="D11" s="1"/>
    </row>
    <row r="12" spans="1:6" x14ac:dyDescent="0.35">
      <c r="A12" s="8" t="s">
        <v>489</v>
      </c>
      <c r="B12" s="1" t="s">
        <v>77</v>
      </c>
      <c r="D12" s="1"/>
    </row>
    <row r="13" spans="1:6" x14ac:dyDescent="0.35">
      <c r="A13" s="8" t="s">
        <v>490</v>
      </c>
      <c r="B13" s="1" t="s">
        <v>77</v>
      </c>
      <c r="D13" s="1"/>
    </row>
    <row r="14" spans="1:6" x14ac:dyDescent="0.35">
      <c r="A14" s="8" t="s">
        <v>491</v>
      </c>
      <c r="B14" s="1" t="s">
        <v>77</v>
      </c>
      <c r="D14" s="1"/>
    </row>
    <row r="15" spans="1:6" x14ac:dyDescent="0.35">
      <c r="A15" s="8" t="s">
        <v>492</v>
      </c>
      <c r="B15" s="1" t="s">
        <v>77</v>
      </c>
      <c r="D15" s="1"/>
    </row>
    <row r="16" spans="1:6" x14ac:dyDescent="0.35">
      <c r="A16" s="8" t="s">
        <v>493</v>
      </c>
      <c r="B16" s="1" t="s">
        <v>77</v>
      </c>
      <c r="D16" s="1"/>
    </row>
    <row r="17" spans="1:4" x14ac:dyDescent="0.35">
      <c r="A17" s="8" t="s">
        <v>494</v>
      </c>
      <c r="B17" s="1" t="s">
        <v>77</v>
      </c>
      <c r="D17" s="1"/>
    </row>
    <row r="18" spans="1:4" x14ac:dyDescent="0.35">
      <c r="A18" s="8" t="s">
        <v>495</v>
      </c>
      <c r="B18" s="1" t="s">
        <v>77</v>
      </c>
      <c r="D18" s="1"/>
    </row>
    <row r="19" spans="1:4" x14ac:dyDescent="0.35">
      <c r="A19" s="8" t="s">
        <v>496</v>
      </c>
      <c r="B19" s="1" t="s">
        <v>77</v>
      </c>
      <c r="D19" s="1"/>
    </row>
    <row r="20" spans="1:4" x14ac:dyDescent="0.35">
      <c r="A20" s="8" t="s">
        <v>497</v>
      </c>
      <c r="B20" s="1" t="s">
        <v>77</v>
      </c>
      <c r="D20" s="1"/>
    </row>
    <row r="21" spans="1:4" x14ac:dyDescent="0.35">
      <c r="A21" s="8" t="s">
        <v>498</v>
      </c>
      <c r="B21" s="1" t="s">
        <v>77</v>
      </c>
      <c r="D21" s="1"/>
    </row>
    <row r="22" spans="1:4" x14ac:dyDescent="0.35">
      <c r="A22" s="8" t="s">
        <v>499</v>
      </c>
      <c r="B22" s="1" t="s">
        <v>77</v>
      </c>
      <c r="D22" s="1"/>
    </row>
    <row r="23" spans="1:4" x14ac:dyDescent="0.35">
      <c r="A23" s="8" t="s">
        <v>500</v>
      </c>
      <c r="B23" s="1" t="s">
        <v>77</v>
      </c>
      <c r="D23" s="1"/>
    </row>
    <row r="24" spans="1:4" x14ac:dyDescent="0.35">
      <c r="A24" s="8" t="s">
        <v>501</v>
      </c>
      <c r="B24" s="1" t="s">
        <v>77</v>
      </c>
      <c r="D24" s="1"/>
    </row>
    <row r="25" spans="1:4" x14ac:dyDescent="0.35">
      <c r="A25" s="8" t="s">
        <v>502</v>
      </c>
      <c r="B25" s="1" t="s">
        <v>77</v>
      </c>
      <c r="D25" s="1"/>
    </row>
    <row r="26" spans="1:4" x14ac:dyDescent="0.35">
      <c r="A26" s="8" t="s">
        <v>503</v>
      </c>
      <c r="B26" s="1" t="s">
        <v>77</v>
      </c>
      <c r="D26" s="1"/>
    </row>
    <row r="27" spans="1:4" x14ac:dyDescent="0.35">
      <c r="A27" s="8" t="s">
        <v>504</v>
      </c>
      <c r="B27" s="1" t="s">
        <v>77</v>
      </c>
      <c r="D27" s="1"/>
    </row>
    <row r="28" spans="1:4" x14ac:dyDescent="0.35">
      <c r="A28" s="8" t="s">
        <v>505</v>
      </c>
      <c r="B28" s="1" t="s">
        <v>77</v>
      </c>
      <c r="D28" s="1"/>
    </row>
    <row r="29" spans="1:4" x14ac:dyDescent="0.35">
      <c r="A29" s="8" t="s">
        <v>506</v>
      </c>
      <c r="B29" s="1" t="s">
        <v>77</v>
      </c>
      <c r="D29" s="1"/>
    </row>
    <row r="30" spans="1:4" x14ac:dyDescent="0.35">
      <c r="A30" s="8" t="s">
        <v>507</v>
      </c>
      <c r="B30" s="1" t="s">
        <v>77</v>
      </c>
      <c r="D30" s="1"/>
    </row>
    <row r="31" spans="1:4" x14ac:dyDescent="0.35">
      <c r="A31" s="8" t="s">
        <v>508</v>
      </c>
      <c r="B31" s="1" t="s">
        <v>77</v>
      </c>
      <c r="D31" s="1"/>
    </row>
    <row r="32" spans="1:4" x14ac:dyDescent="0.35">
      <c r="A32" s="8" t="s">
        <v>509</v>
      </c>
      <c r="B32" s="1" t="s">
        <v>77</v>
      </c>
      <c r="D32" s="1"/>
    </row>
    <row r="33" spans="1:4" x14ac:dyDescent="0.35">
      <c r="A33" s="8" t="s">
        <v>510</v>
      </c>
      <c r="B33" s="1" t="s">
        <v>77</v>
      </c>
      <c r="D33" s="1"/>
    </row>
    <row r="34" spans="1:4" x14ac:dyDescent="0.35">
      <c r="A34" s="8" t="s">
        <v>511</v>
      </c>
      <c r="B34" s="1" t="s">
        <v>77</v>
      </c>
      <c r="D34" s="1"/>
    </row>
    <row r="35" spans="1:4" x14ac:dyDescent="0.35">
      <c r="A35" s="8" t="s">
        <v>512</v>
      </c>
      <c r="B35" s="1" t="s">
        <v>77</v>
      </c>
      <c r="D35" s="1"/>
    </row>
    <row r="36" spans="1:4" x14ac:dyDescent="0.35">
      <c r="A36" s="8" t="s">
        <v>513</v>
      </c>
      <c r="B36" s="1" t="s">
        <v>77</v>
      </c>
      <c r="D36" s="1"/>
    </row>
    <row r="37" spans="1:4" x14ac:dyDescent="0.35">
      <c r="A37" s="8" t="s">
        <v>514</v>
      </c>
      <c r="B37" s="1" t="s">
        <v>77</v>
      </c>
      <c r="D37" s="1"/>
    </row>
    <row r="38" spans="1:4" x14ac:dyDescent="0.35">
      <c r="A38" s="8" t="s">
        <v>515</v>
      </c>
      <c r="B38" s="1" t="s">
        <v>77</v>
      </c>
      <c r="D38" s="1"/>
    </row>
    <row r="39" spans="1:4" x14ac:dyDescent="0.35">
      <c r="A39" s="8" t="s">
        <v>516</v>
      </c>
      <c r="B39" s="1" t="s">
        <v>77</v>
      </c>
      <c r="D39" s="1"/>
    </row>
    <row r="40" spans="1:4" x14ac:dyDescent="0.35">
      <c r="A40" s="8" t="s">
        <v>517</v>
      </c>
      <c r="B40" s="1" t="s">
        <v>77</v>
      </c>
      <c r="D40" s="1"/>
    </row>
    <row r="41" spans="1:4" x14ac:dyDescent="0.35">
      <c r="A41" s="8" t="s">
        <v>518</v>
      </c>
      <c r="B41" s="1" t="s">
        <v>77</v>
      </c>
      <c r="D41" s="1"/>
    </row>
    <row r="42" spans="1:4" x14ac:dyDescent="0.35">
      <c r="A42" s="8" t="s">
        <v>519</v>
      </c>
      <c r="B42" s="1" t="s">
        <v>77</v>
      </c>
      <c r="D42" s="1"/>
    </row>
    <row r="43" spans="1:4" x14ac:dyDescent="0.35">
      <c r="A43" s="8" t="s">
        <v>492</v>
      </c>
      <c r="B43" s="1" t="s">
        <v>77</v>
      </c>
      <c r="D43" s="1"/>
    </row>
    <row r="44" spans="1:4" x14ac:dyDescent="0.35">
      <c r="A44" s="8" t="s">
        <v>520</v>
      </c>
      <c r="B44" s="1" t="s">
        <v>77</v>
      </c>
      <c r="D44" s="1"/>
    </row>
    <row r="45" spans="1:4" x14ac:dyDescent="0.35">
      <c r="A45" s="12" t="s">
        <v>521</v>
      </c>
      <c r="B45" s="5" t="s">
        <v>375</v>
      </c>
      <c r="D45" s="1"/>
    </row>
    <row r="46" spans="1:4" x14ac:dyDescent="0.35">
      <c r="A46" s="8" t="s">
        <v>522</v>
      </c>
      <c r="B46" s="1" t="s">
        <v>77</v>
      </c>
      <c r="D46" s="1"/>
    </row>
    <row r="47" spans="1:4" x14ac:dyDescent="0.35">
      <c r="A47" s="8" t="s">
        <v>523</v>
      </c>
      <c r="B47" s="1" t="s">
        <v>77</v>
      </c>
      <c r="D47" s="1"/>
    </row>
    <row r="48" spans="1:4" x14ac:dyDescent="0.35">
      <c r="A48" s="12" t="s">
        <v>524</v>
      </c>
      <c r="B48" s="5" t="s">
        <v>375</v>
      </c>
      <c r="D48" s="1"/>
    </row>
    <row r="49" spans="1:4" x14ac:dyDescent="0.35">
      <c r="A49" s="8" t="s">
        <v>525</v>
      </c>
      <c r="B49" s="1" t="s">
        <v>77</v>
      </c>
      <c r="D49" s="1"/>
    </row>
  </sheetData>
  <pageMargins left="0.7" right="0.7" top="0.75" bottom="0.75" header="0.3" footer="0.3"/>
  <headerFooter>
    <oddFooter>&amp;L_x000D_&amp;1#&amp;"Aptos"&amp;10&amp;K000000 DS SMITH-BUSINESS USE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84F2-0E0F-4A43-B441-8E23EC857D2C}">
  <sheetPr>
    <tabColor rgb="FF00B050"/>
  </sheetPr>
  <dimension ref="A1:F11"/>
  <sheetViews>
    <sheetView workbookViewId="0">
      <selection activeCell="A12" sqref="A12:XFD28"/>
    </sheetView>
  </sheetViews>
  <sheetFormatPr defaultColWidth="8.7265625" defaultRowHeight="14.5" x14ac:dyDescent="0.35"/>
  <cols>
    <col min="1" max="1" width="50.54296875" customWidth="1"/>
    <col min="2" max="2" width="14.26953125" bestFit="1" customWidth="1"/>
  </cols>
  <sheetData>
    <row r="1" spans="1:6" ht="15" thickBot="1" x14ac:dyDescent="0.4">
      <c r="B1" s="16">
        <f>COUNTA(B4:B10)</f>
        <v>7</v>
      </c>
      <c r="C1" s="17"/>
      <c r="D1" s="17">
        <f>COUNTA(D4:D10)</f>
        <v>0</v>
      </c>
      <c r="E1" s="17"/>
      <c r="F1" s="18">
        <f>D1/B1</f>
        <v>0</v>
      </c>
    </row>
    <row r="2" spans="1:6" x14ac:dyDescent="0.35">
      <c r="F2" s="14"/>
    </row>
    <row r="3" spans="1:6" x14ac:dyDescent="0.35">
      <c r="A3" s="38" t="s">
        <v>37</v>
      </c>
      <c r="B3" s="39" t="s">
        <v>38</v>
      </c>
      <c r="D3" s="39" t="s">
        <v>39</v>
      </c>
    </row>
    <row r="4" spans="1:6" x14ac:dyDescent="0.35">
      <c r="A4" s="11" t="s">
        <v>526</v>
      </c>
      <c r="B4" s="1" t="s">
        <v>77</v>
      </c>
      <c r="D4" s="1"/>
    </row>
    <row r="5" spans="1:6" x14ac:dyDescent="0.35">
      <c r="A5" s="11" t="s">
        <v>527</v>
      </c>
      <c r="B5" s="1" t="s">
        <v>77</v>
      </c>
      <c r="D5" s="1"/>
    </row>
    <row r="6" spans="1:6" x14ac:dyDescent="0.35">
      <c r="A6" s="11" t="s">
        <v>528</v>
      </c>
      <c r="B6" s="1" t="s">
        <v>77</v>
      </c>
      <c r="D6" s="1"/>
    </row>
    <row r="7" spans="1:6" x14ac:dyDescent="0.35">
      <c r="A7" s="11" t="s">
        <v>529</v>
      </c>
      <c r="B7" s="1" t="s">
        <v>77</v>
      </c>
      <c r="D7" s="1"/>
    </row>
    <row r="8" spans="1:6" x14ac:dyDescent="0.35">
      <c r="A8" s="8" t="s">
        <v>530</v>
      </c>
      <c r="B8" s="1" t="s">
        <v>77</v>
      </c>
      <c r="D8" s="1"/>
    </row>
    <row r="9" spans="1:6" x14ac:dyDescent="0.35">
      <c r="A9" s="8" t="s">
        <v>531</v>
      </c>
      <c r="B9" s="1" t="s">
        <v>77</v>
      </c>
      <c r="D9" s="1"/>
    </row>
    <row r="10" spans="1:6" x14ac:dyDescent="0.35">
      <c r="A10" s="8" t="s">
        <v>532</v>
      </c>
      <c r="B10" s="1" t="s">
        <v>77</v>
      </c>
      <c r="D10" s="1"/>
    </row>
    <row r="11" spans="1:6" x14ac:dyDescent="0.35">
      <c r="A11" s="8"/>
      <c r="B11" s="1"/>
      <c r="D11" s="1"/>
    </row>
  </sheetData>
  <pageMargins left="0.7" right="0.7" top="0.75" bottom="0.75" header="0.3" footer="0.3"/>
  <headerFooter>
    <oddFooter>&amp;L_x000D_&amp;1#&amp;"Aptos"&amp;10&amp;K000000 DS SMITH-BUSINESS USE</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DB37C-5674-45DE-97A4-B4394C0E38DC}">
  <sheetPr>
    <tabColor rgb="FF00B050"/>
  </sheetPr>
  <dimension ref="A1:F11"/>
  <sheetViews>
    <sheetView workbookViewId="0">
      <selection activeCell="A12" sqref="A12:XFD39"/>
    </sheetView>
  </sheetViews>
  <sheetFormatPr defaultColWidth="8.7265625" defaultRowHeight="14.5" x14ac:dyDescent="0.35"/>
  <cols>
    <col min="1" max="1" width="50.54296875" customWidth="1"/>
    <col min="2" max="2" width="14.26953125" bestFit="1" customWidth="1"/>
  </cols>
  <sheetData>
    <row r="1" spans="1:6" ht="15" thickBot="1" x14ac:dyDescent="0.4">
      <c r="B1" s="16">
        <f>COUNTA(B4:B10)</f>
        <v>7</v>
      </c>
      <c r="C1" s="17"/>
      <c r="D1" s="17">
        <f>COUNTA(D4:D10)</f>
        <v>0</v>
      </c>
      <c r="E1" s="17"/>
      <c r="F1" s="18">
        <f>D1/B1</f>
        <v>0</v>
      </c>
    </row>
    <row r="2" spans="1:6" x14ac:dyDescent="0.35">
      <c r="F2" s="14"/>
    </row>
    <row r="3" spans="1:6" x14ac:dyDescent="0.35">
      <c r="A3" s="38" t="s">
        <v>37</v>
      </c>
      <c r="B3" s="39" t="s">
        <v>38</v>
      </c>
      <c r="D3" s="39" t="s">
        <v>39</v>
      </c>
    </row>
    <row r="4" spans="1:6" x14ac:dyDescent="0.35">
      <c r="A4" s="11" t="s">
        <v>526</v>
      </c>
      <c r="B4" s="1" t="s">
        <v>77</v>
      </c>
      <c r="D4" s="1"/>
    </row>
    <row r="5" spans="1:6" x14ac:dyDescent="0.35">
      <c r="A5" s="11" t="s">
        <v>527</v>
      </c>
      <c r="B5" s="1" t="s">
        <v>77</v>
      </c>
      <c r="D5" s="1"/>
    </row>
    <row r="6" spans="1:6" x14ac:dyDescent="0.35">
      <c r="A6" s="11" t="s">
        <v>528</v>
      </c>
      <c r="B6" s="1" t="s">
        <v>77</v>
      </c>
      <c r="D6" s="1"/>
    </row>
    <row r="7" spans="1:6" x14ac:dyDescent="0.35">
      <c r="A7" s="11" t="s">
        <v>529</v>
      </c>
      <c r="B7" s="1" t="s">
        <v>77</v>
      </c>
      <c r="D7" s="1"/>
    </row>
    <row r="8" spans="1:6" x14ac:dyDescent="0.35">
      <c r="A8" s="8" t="s">
        <v>530</v>
      </c>
      <c r="B8" s="1" t="s">
        <v>77</v>
      </c>
      <c r="D8" s="1"/>
    </row>
    <row r="9" spans="1:6" x14ac:dyDescent="0.35">
      <c r="A9" s="8" t="s">
        <v>531</v>
      </c>
      <c r="B9" s="1" t="s">
        <v>77</v>
      </c>
      <c r="D9" s="1"/>
    </row>
    <row r="10" spans="1:6" x14ac:dyDescent="0.35">
      <c r="A10" s="8" t="s">
        <v>532</v>
      </c>
      <c r="B10" s="1" t="s">
        <v>77</v>
      </c>
      <c r="D10" s="1"/>
    </row>
    <row r="11" spans="1:6" x14ac:dyDescent="0.35">
      <c r="A11" s="8"/>
      <c r="B11" s="1"/>
      <c r="D11" s="1"/>
    </row>
  </sheetData>
  <pageMargins left="0.7" right="0.7" top="0.75" bottom="0.75" header="0.3" footer="0.3"/>
  <headerFooter>
    <oddFooter>&amp;L_x000D_&amp;1#&amp;"Aptos"&amp;10&amp;K000000 DS SMITH-BUSINESS USE</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A143-E5A1-4726-A44C-9C79814ECC8F}">
  <sheetPr>
    <tabColor rgb="FF00B050"/>
  </sheetPr>
  <dimension ref="A1:F30"/>
  <sheetViews>
    <sheetView workbookViewId="0">
      <selection activeCell="D3" sqref="D3:D30"/>
    </sheetView>
  </sheetViews>
  <sheetFormatPr defaultColWidth="8.7265625" defaultRowHeight="14.5" x14ac:dyDescent="0.35"/>
  <cols>
    <col min="1" max="1" width="50.54296875" customWidth="1"/>
    <col min="2" max="2" width="10.81640625" bestFit="1" customWidth="1"/>
  </cols>
  <sheetData>
    <row r="1" spans="1:6" ht="15" thickBot="1" x14ac:dyDescent="0.4">
      <c r="B1" s="19">
        <f>COUNTA(B4:B30)</f>
        <v>27</v>
      </c>
      <c r="C1" s="20"/>
      <c r="D1" s="20">
        <f>COUNTA(D4:D30)</f>
        <v>0</v>
      </c>
      <c r="E1" s="20"/>
      <c r="F1" s="21">
        <f>D1/B1</f>
        <v>0</v>
      </c>
    </row>
    <row r="2" spans="1:6" x14ac:dyDescent="0.35">
      <c r="F2" s="14"/>
    </row>
    <row r="3" spans="1:6" x14ac:dyDescent="0.35">
      <c r="A3" s="38" t="s">
        <v>37</v>
      </c>
      <c r="B3" s="39" t="s">
        <v>38</v>
      </c>
      <c r="D3" s="39" t="s">
        <v>39</v>
      </c>
    </row>
    <row r="4" spans="1:6" x14ac:dyDescent="0.35">
      <c r="A4" s="11" t="s">
        <v>533</v>
      </c>
      <c r="B4" s="1" t="s">
        <v>77</v>
      </c>
      <c r="D4" s="1"/>
    </row>
    <row r="5" spans="1:6" x14ac:dyDescent="0.35">
      <c r="A5" s="11" t="s">
        <v>534</v>
      </c>
      <c r="B5" s="1" t="s">
        <v>77</v>
      </c>
      <c r="D5" s="1"/>
    </row>
    <row r="6" spans="1:6" x14ac:dyDescent="0.35">
      <c r="A6" s="8" t="s">
        <v>535</v>
      </c>
      <c r="B6" s="1" t="s">
        <v>77</v>
      </c>
      <c r="D6" s="1"/>
    </row>
    <row r="7" spans="1:6" x14ac:dyDescent="0.35">
      <c r="A7" s="12" t="s">
        <v>536</v>
      </c>
      <c r="B7" s="5" t="s">
        <v>375</v>
      </c>
      <c r="D7" s="1"/>
    </row>
    <row r="8" spans="1:6" x14ac:dyDescent="0.35">
      <c r="A8" s="8" t="s">
        <v>537</v>
      </c>
      <c r="B8" s="1" t="s">
        <v>77</v>
      </c>
      <c r="D8" s="1"/>
    </row>
    <row r="9" spans="1:6" x14ac:dyDescent="0.35">
      <c r="A9" s="8" t="s">
        <v>538</v>
      </c>
      <c r="B9" s="1" t="s">
        <v>77</v>
      </c>
      <c r="D9" s="1"/>
    </row>
    <row r="10" spans="1:6" x14ac:dyDescent="0.35">
      <c r="A10" s="8" t="s">
        <v>539</v>
      </c>
      <c r="B10" s="1" t="s">
        <v>77</v>
      </c>
      <c r="D10" s="1"/>
    </row>
    <row r="11" spans="1:6" x14ac:dyDescent="0.35">
      <c r="A11" s="8" t="s">
        <v>540</v>
      </c>
      <c r="B11" s="1" t="s">
        <v>77</v>
      </c>
      <c r="D11" s="1"/>
    </row>
    <row r="12" spans="1:6" x14ac:dyDescent="0.35">
      <c r="A12" s="8" t="s">
        <v>541</v>
      </c>
      <c r="B12" s="1" t="s">
        <v>77</v>
      </c>
      <c r="D12" s="1"/>
    </row>
    <row r="13" spans="1:6" x14ac:dyDescent="0.35">
      <c r="A13" s="8" t="s">
        <v>542</v>
      </c>
      <c r="B13" s="1" t="s">
        <v>77</v>
      </c>
      <c r="D13" s="1"/>
    </row>
    <row r="14" spans="1:6" x14ac:dyDescent="0.35">
      <c r="A14" s="8" t="s">
        <v>543</v>
      </c>
      <c r="B14" s="1" t="s">
        <v>77</v>
      </c>
      <c r="D14" s="1"/>
    </row>
    <row r="15" spans="1:6" x14ac:dyDescent="0.35">
      <c r="A15" s="8" t="s">
        <v>544</v>
      </c>
      <c r="B15" s="1" t="s">
        <v>77</v>
      </c>
      <c r="D15" s="1"/>
    </row>
    <row r="16" spans="1:6" x14ac:dyDescent="0.35">
      <c r="A16" s="8" t="s">
        <v>545</v>
      </c>
      <c r="B16" s="1" t="s">
        <v>77</v>
      </c>
      <c r="D16" s="1"/>
    </row>
    <row r="17" spans="1:4" x14ac:dyDescent="0.35">
      <c r="A17" s="8" t="s">
        <v>546</v>
      </c>
      <c r="B17" s="1" t="s">
        <v>77</v>
      </c>
      <c r="D17" s="1"/>
    </row>
    <row r="18" spans="1:4" x14ac:dyDescent="0.35">
      <c r="A18" s="8" t="s">
        <v>547</v>
      </c>
      <c r="B18" s="1" t="s">
        <v>77</v>
      </c>
      <c r="D18" s="1"/>
    </row>
    <row r="19" spans="1:4" x14ac:dyDescent="0.35">
      <c r="A19" s="8" t="s">
        <v>548</v>
      </c>
      <c r="B19" s="1" t="s">
        <v>77</v>
      </c>
      <c r="D19" s="1"/>
    </row>
    <row r="20" spans="1:4" x14ac:dyDescent="0.35">
      <c r="A20" s="8" t="s">
        <v>549</v>
      </c>
      <c r="B20" s="1" t="s">
        <v>77</v>
      </c>
      <c r="D20" s="1"/>
    </row>
    <row r="21" spans="1:4" x14ac:dyDescent="0.35">
      <c r="A21" s="8" t="s">
        <v>550</v>
      </c>
      <c r="B21" s="1" t="s">
        <v>77</v>
      </c>
      <c r="D21" s="1"/>
    </row>
    <row r="22" spans="1:4" x14ac:dyDescent="0.35">
      <c r="A22" s="8" t="s">
        <v>551</v>
      </c>
      <c r="B22" s="1" t="s">
        <v>77</v>
      </c>
      <c r="D22" s="1"/>
    </row>
    <row r="23" spans="1:4" x14ac:dyDescent="0.35">
      <c r="A23" s="8" t="s">
        <v>552</v>
      </c>
      <c r="B23" s="1" t="s">
        <v>77</v>
      </c>
      <c r="D23" s="1"/>
    </row>
    <row r="24" spans="1:4" x14ac:dyDescent="0.35">
      <c r="A24" s="8" t="s">
        <v>553</v>
      </c>
      <c r="B24" s="1" t="s">
        <v>77</v>
      </c>
      <c r="D24" s="1"/>
    </row>
    <row r="25" spans="1:4" x14ac:dyDescent="0.35">
      <c r="A25" s="8" t="s">
        <v>554</v>
      </c>
      <c r="B25" s="1" t="s">
        <v>77</v>
      </c>
      <c r="D25" s="1"/>
    </row>
    <row r="26" spans="1:4" x14ac:dyDescent="0.35">
      <c r="A26" s="8" t="s">
        <v>555</v>
      </c>
      <c r="B26" s="1" t="s">
        <v>77</v>
      </c>
      <c r="D26" s="1"/>
    </row>
    <row r="27" spans="1:4" x14ac:dyDescent="0.35">
      <c r="A27" s="8" t="s">
        <v>556</v>
      </c>
      <c r="B27" s="1" t="s">
        <v>77</v>
      </c>
      <c r="D27" s="1"/>
    </row>
    <row r="28" spans="1:4" x14ac:dyDescent="0.35">
      <c r="A28" s="8" t="s">
        <v>557</v>
      </c>
      <c r="B28" s="1" t="s">
        <v>77</v>
      </c>
      <c r="D28" s="1"/>
    </row>
    <row r="29" spans="1:4" x14ac:dyDescent="0.35">
      <c r="A29" s="8" t="s">
        <v>108</v>
      </c>
      <c r="B29" s="1" t="s">
        <v>77</v>
      </c>
      <c r="D29" s="1"/>
    </row>
    <row r="30" spans="1:4" x14ac:dyDescent="0.35">
      <c r="A30" s="8" t="s">
        <v>558</v>
      </c>
      <c r="B30" s="1" t="s">
        <v>77</v>
      </c>
      <c r="D30" s="1"/>
    </row>
  </sheetData>
  <pageMargins left="0.7" right="0.7" top="0.75" bottom="0.75" header="0.3" footer="0.3"/>
  <headerFooter>
    <oddFooter>&amp;L_x000D_&amp;1#&amp;"Aptos"&amp;10&amp;K000000 DS SMITH-BUSINESS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E416-3596-42C6-B15D-B7B999C25EC1}">
  <sheetPr>
    <tabColor rgb="FF00B050"/>
  </sheetPr>
  <dimension ref="A1:F14"/>
  <sheetViews>
    <sheetView workbookViewId="0">
      <selection activeCell="A15" sqref="A15:XFD29"/>
    </sheetView>
  </sheetViews>
  <sheetFormatPr defaultColWidth="8.7265625" defaultRowHeight="14.5" x14ac:dyDescent="0.35"/>
  <cols>
    <col min="1" max="1" width="50.54296875" customWidth="1"/>
    <col min="2" max="2" width="11.453125" bestFit="1" customWidth="1"/>
  </cols>
  <sheetData>
    <row r="1" spans="1:6" ht="15" thickBot="1" x14ac:dyDescent="0.4">
      <c r="B1" s="19">
        <f>COUNTA(B4:B13)</f>
        <v>10</v>
      </c>
      <c r="C1" s="20"/>
      <c r="D1" s="20">
        <f>COUNTA(D4:D13)</f>
        <v>0</v>
      </c>
      <c r="E1" s="20"/>
      <c r="F1" s="23">
        <f>D1/B1</f>
        <v>0</v>
      </c>
    </row>
    <row r="3" spans="1:6" x14ac:dyDescent="0.35">
      <c r="A3" s="38" t="s">
        <v>37</v>
      </c>
      <c r="B3" s="39" t="s">
        <v>38</v>
      </c>
      <c r="D3" s="39" t="s">
        <v>39</v>
      </c>
    </row>
    <row r="4" spans="1:6" x14ac:dyDescent="0.35">
      <c r="A4" s="11" t="s">
        <v>559</v>
      </c>
      <c r="B4" s="1" t="s">
        <v>77</v>
      </c>
      <c r="D4" s="1"/>
    </row>
    <row r="5" spans="1:6" x14ac:dyDescent="0.35">
      <c r="A5" s="11" t="s">
        <v>560</v>
      </c>
      <c r="B5" s="1" t="s">
        <v>77</v>
      </c>
      <c r="D5" s="1"/>
    </row>
    <row r="6" spans="1:6" x14ac:dyDescent="0.35">
      <c r="A6" s="11" t="s">
        <v>561</v>
      </c>
      <c r="B6" s="1" t="s">
        <v>77</v>
      </c>
      <c r="D6" s="1"/>
    </row>
    <row r="7" spans="1:6" x14ac:dyDescent="0.35">
      <c r="A7" s="8" t="s">
        <v>562</v>
      </c>
      <c r="B7" s="1" t="s">
        <v>77</v>
      </c>
      <c r="D7" s="1"/>
    </row>
    <row r="8" spans="1:6" x14ac:dyDescent="0.35">
      <c r="A8" s="11" t="s">
        <v>563</v>
      </c>
      <c r="B8" s="1" t="s">
        <v>77</v>
      </c>
      <c r="D8" s="1"/>
    </row>
    <row r="9" spans="1:6" x14ac:dyDescent="0.35">
      <c r="A9" s="11" t="s">
        <v>564</v>
      </c>
      <c r="B9" s="1" t="s">
        <v>77</v>
      </c>
      <c r="D9" s="1"/>
    </row>
    <row r="10" spans="1:6" x14ac:dyDescent="0.35">
      <c r="A10" s="8" t="s">
        <v>565</v>
      </c>
      <c r="B10" s="1" t="s">
        <v>77</v>
      </c>
      <c r="D10" s="1"/>
    </row>
    <row r="11" spans="1:6" x14ac:dyDescent="0.35">
      <c r="A11" s="8" t="s">
        <v>566</v>
      </c>
      <c r="B11" s="1" t="s">
        <v>77</v>
      </c>
      <c r="D11" s="1"/>
    </row>
    <row r="12" spans="1:6" x14ac:dyDescent="0.35">
      <c r="A12" s="8" t="s">
        <v>567</v>
      </c>
      <c r="B12" s="1" t="s">
        <v>77</v>
      </c>
      <c r="D12" s="1"/>
    </row>
    <row r="13" spans="1:6" x14ac:dyDescent="0.35">
      <c r="A13" s="8" t="s">
        <v>568</v>
      </c>
      <c r="B13" s="1" t="s">
        <v>77</v>
      </c>
      <c r="D13" s="1"/>
    </row>
    <row r="14" spans="1:6" x14ac:dyDescent="0.35">
      <c r="A14" s="8"/>
      <c r="B14" s="1"/>
      <c r="D14" s="1"/>
    </row>
  </sheetData>
  <pageMargins left="0.7" right="0.7" top="0.75" bottom="0.75" header="0.3" footer="0.3"/>
  <headerFooter>
    <oddFooter>&amp;L_x000D_&amp;1#&amp;"Aptos"&amp;10&amp;K000000 DS SMITH-BUSINESS USE</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BFB9-12B5-4C44-BA55-D310FE324F42}">
  <sheetPr>
    <tabColor rgb="FF00B050"/>
  </sheetPr>
  <dimension ref="A1:F51"/>
  <sheetViews>
    <sheetView workbookViewId="0">
      <selection activeCell="E6" sqref="E6"/>
    </sheetView>
  </sheetViews>
  <sheetFormatPr defaultColWidth="8.7265625" defaultRowHeight="14.5" x14ac:dyDescent="0.35"/>
  <cols>
    <col min="1" max="1" width="50.54296875" customWidth="1"/>
    <col min="2" max="2" width="21.81640625" bestFit="1" customWidth="1"/>
  </cols>
  <sheetData>
    <row r="1" spans="1:6" ht="15" thickBot="1" x14ac:dyDescent="0.4">
      <c r="B1" s="19">
        <f>COUNTA(B4:B51)</f>
        <v>46</v>
      </c>
      <c r="C1" s="20"/>
      <c r="D1" s="20">
        <f>COUNTA(D4:D51)</f>
        <v>3</v>
      </c>
      <c r="E1" s="20"/>
      <c r="F1" s="21">
        <f>D1/B1</f>
        <v>6.5217391304347824E-2</v>
      </c>
    </row>
    <row r="2" spans="1:6" x14ac:dyDescent="0.35">
      <c r="F2" s="14"/>
    </row>
    <row r="3" spans="1:6" x14ac:dyDescent="0.35">
      <c r="A3" s="38" t="s">
        <v>37</v>
      </c>
      <c r="B3" s="39" t="s">
        <v>38</v>
      </c>
      <c r="D3" s="39" t="s">
        <v>39</v>
      </c>
    </row>
    <row r="4" spans="1:6" x14ac:dyDescent="0.35">
      <c r="A4" s="6" t="s">
        <v>104</v>
      </c>
      <c r="B4" s="5" t="s">
        <v>73</v>
      </c>
      <c r="D4" s="1" t="s">
        <v>42</v>
      </c>
    </row>
    <row r="5" spans="1:6" x14ac:dyDescent="0.35">
      <c r="A5" s="8" t="s">
        <v>569</v>
      </c>
      <c r="B5" s="1" t="s">
        <v>77</v>
      </c>
      <c r="D5" s="1"/>
    </row>
    <row r="6" spans="1:6" x14ac:dyDescent="0.35">
      <c r="A6" s="11" t="s">
        <v>570</v>
      </c>
      <c r="B6" s="1" t="s">
        <v>77</v>
      </c>
      <c r="D6" s="1"/>
    </row>
    <row r="7" spans="1:6" x14ac:dyDescent="0.35">
      <c r="A7" s="8" t="s">
        <v>571</v>
      </c>
      <c r="B7" s="1" t="s">
        <v>77</v>
      </c>
      <c r="D7" s="1"/>
    </row>
    <row r="8" spans="1:6" x14ac:dyDescent="0.35">
      <c r="A8" s="8" t="s">
        <v>572</v>
      </c>
      <c r="B8" s="1" t="s">
        <v>77</v>
      </c>
      <c r="D8" s="1"/>
    </row>
    <row r="9" spans="1:6" x14ac:dyDescent="0.35">
      <c r="A9" s="8" t="s">
        <v>573</v>
      </c>
      <c r="B9" s="1" t="s">
        <v>77</v>
      </c>
      <c r="D9" s="1"/>
    </row>
    <row r="10" spans="1:6" x14ac:dyDescent="0.35">
      <c r="A10" s="8" t="s">
        <v>574</v>
      </c>
      <c r="B10" s="1" t="s">
        <v>77</v>
      </c>
      <c r="D10" s="1"/>
    </row>
    <row r="11" spans="1:6" x14ac:dyDescent="0.35">
      <c r="A11" s="8" t="s">
        <v>575</v>
      </c>
      <c r="B11" s="1" t="s">
        <v>77</v>
      </c>
      <c r="D11" s="1"/>
    </row>
    <row r="12" spans="1:6" x14ac:dyDescent="0.35">
      <c r="A12" s="8" t="s">
        <v>576</v>
      </c>
      <c r="B12" s="1" t="s">
        <v>77</v>
      </c>
      <c r="D12" s="1"/>
    </row>
    <row r="13" spans="1:6" x14ac:dyDescent="0.35">
      <c r="A13" s="8" t="s">
        <v>577</v>
      </c>
      <c r="B13" s="1" t="s">
        <v>77</v>
      </c>
      <c r="D13" s="1"/>
    </row>
    <row r="14" spans="1:6" x14ac:dyDescent="0.35">
      <c r="A14" s="11" t="s">
        <v>578</v>
      </c>
      <c r="B14" s="1" t="s">
        <v>77</v>
      </c>
      <c r="D14" s="1"/>
    </row>
    <row r="15" spans="1:6" x14ac:dyDescent="0.35">
      <c r="A15" s="8" t="s">
        <v>579</v>
      </c>
      <c r="B15" s="1" t="s">
        <v>77</v>
      </c>
      <c r="D15" s="1"/>
    </row>
    <row r="16" spans="1:6" x14ac:dyDescent="0.35">
      <c r="A16" s="11" t="s">
        <v>580</v>
      </c>
      <c r="B16" s="1" t="s">
        <v>77</v>
      </c>
      <c r="D16" s="1"/>
    </row>
    <row r="17" spans="1:4" x14ac:dyDescent="0.35">
      <c r="A17" s="8" t="s">
        <v>581</v>
      </c>
      <c r="B17" s="1" t="s">
        <v>77</v>
      </c>
      <c r="D17" s="1"/>
    </row>
    <row r="18" spans="1:4" x14ac:dyDescent="0.35">
      <c r="A18" s="8" t="s">
        <v>582</v>
      </c>
      <c r="B18" s="1" t="s">
        <v>77</v>
      </c>
      <c r="D18" s="1"/>
    </row>
    <row r="19" spans="1:4" x14ac:dyDescent="0.35">
      <c r="A19" s="8" t="s">
        <v>583</v>
      </c>
      <c r="B19" s="1" t="s">
        <v>77</v>
      </c>
      <c r="D19" s="1"/>
    </row>
    <row r="20" spans="1:4" x14ac:dyDescent="0.35">
      <c r="A20" s="8" t="s">
        <v>584</v>
      </c>
      <c r="B20" s="1" t="s">
        <v>77</v>
      </c>
      <c r="D20" s="1"/>
    </row>
    <row r="21" spans="1:4" x14ac:dyDescent="0.35">
      <c r="A21" s="8" t="s">
        <v>585</v>
      </c>
      <c r="B21" s="1" t="s">
        <v>77</v>
      </c>
      <c r="D21" s="1"/>
    </row>
    <row r="22" spans="1:4" x14ac:dyDescent="0.35">
      <c r="A22" s="8" t="s">
        <v>559</v>
      </c>
      <c r="B22" s="1" t="s">
        <v>77</v>
      </c>
      <c r="D22" s="1"/>
    </row>
    <row r="23" spans="1:4" x14ac:dyDescent="0.35">
      <c r="A23" s="8" t="s">
        <v>560</v>
      </c>
      <c r="B23" s="1" t="s">
        <v>77</v>
      </c>
      <c r="D23" s="1"/>
    </row>
    <row r="24" spans="1:4" x14ac:dyDescent="0.35">
      <c r="A24" s="11" t="s">
        <v>586</v>
      </c>
      <c r="B24" s="1" t="s">
        <v>587</v>
      </c>
      <c r="D24" s="1" t="s">
        <v>42</v>
      </c>
    </row>
    <row r="25" spans="1:4" x14ac:dyDescent="0.35">
      <c r="A25" s="8" t="s">
        <v>588</v>
      </c>
      <c r="B25" s="1" t="s">
        <v>77</v>
      </c>
      <c r="D25" s="1"/>
    </row>
    <row r="26" spans="1:4" x14ac:dyDescent="0.35">
      <c r="A26" s="8" t="s">
        <v>589</v>
      </c>
      <c r="B26" s="1" t="s">
        <v>77</v>
      </c>
      <c r="D26" s="1"/>
    </row>
    <row r="27" spans="1:4" x14ac:dyDescent="0.35">
      <c r="A27" s="8" t="s">
        <v>590</v>
      </c>
      <c r="B27" s="1" t="s">
        <v>77</v>
      </c>
      <c r="D27" s="1"/>
    </row>
    <row r="28" spans="1:4" x14ac:dyDescent="0.35">
      <c r="A28" s="8" t="s">
        <v>591</v>
      </c>
      <c r="B28" s="1" t="s">
        <v>77</v>
      </c>
      <c r="D28" s="1"/>
    </row>
    <row r="29" spans="1:4" x14ac:dyDescent="0.35">
      <c r="A29" s="8" t="s">
        <v>592</v>
      </c>
      <c r="B29" s="1" t="s">
        <v>77</v>
      </c>
      <c r="D29" s="1"/>
    </row>
    <row r="30" spans="1:4" x14ac:dyDescent="0.35">
      <c r="A30" s="8" t="s">
        <v>593</v>
      </c>
      <c r="B30" s="1" t="s">
        <v>77</v>
      </c>
      <c r="D30" s="1"/>
    </row>
    <row r="31" spans="1:4" x14ac:dyDescent="0.35">
      <c r="A31" s="8" t="s">
        <v>594</v>
      </c>
      <c r="B31" s="1" t="s">
        <v>77</v>
      </c>
      <c r="D31" s="1"/>
    </row>
    <row r="32" spans="1:4" x14ac:dyDescent="0.35">
      <c r="A32" s="8" t="s">
        <v>595</v>
      </c>
      <c r="B32" s="1" t="s">
        <v>77</v>
      </c>
      <c r="D32" s="1"/>
    </row>
    <row r="33" spans="1:4" x14ac:dyDescent="0.35">
      <c r="A33" s="8" t="s">
        <v>596</v>
      </c>
      <c r="B33" s="1" t="s">
        <v>77</v>
      </c>
      <c r="D33" s="1"/>
    </row>
    <row r="34" spans="1:4" x14ac:dyDescent="0.35">
      <c r="A34" s="8" t="s">
        <v>597</v>
      </c>
      <c r="B34" s="1" t="s">
        <v>77</v>
      </c>
      <c r="D34" s="1"/>
    </row>
    <row r="35" spans="1:4" x14ac:dyDescent="0.35">
      <c r="A35" s="8" t="s">
        <v>598</v>
      </c>
      <c r="B35" s="1" t="s">
        <v>77</v>
      </c>
      <c r="D35" s="1"/>
    </row>
    <row r="36" spans="1:4" x14ac:dyDescent="0.35">
      <c r="A36" s="8" t="s">
        <v>599</v>
      </c>
      <c r="B36" s="1" t="s">
        <v>77</v>
      </c>
      <c r="D36" s="1"/>
    </row>
    <row r="37" spans="1:4" x14ac:dyDescent="0.35">
      <c r="A37" s="8" t="s">
        <v>600</v>
      </c>
      <c r="B37" s="1" t="s">
        <v>77</v>
      </c>
      <c r="D37" s="1"/>
    </row>
    <row r="38" spans="1:4" x14ac:dyDescent="0.35">
      <c r="A38" s="8" t="s">
        <v>601</v>
      </c>
      <c r="B38" s="1" t="s">
        <v>77</v>
      </c>
      <c r="D38" s="1"/>
    </row>
    <row r="39" spans="1:4" x14ac:dyDescent="0.35">
      <c r="A39" s="8" t="s">
        <v>602</v>
      </c>
      <c r="B39" s="1" t="s">
        <v>77</v>
      </c>
      <c r="D39" s="1"/>
    </row>
    <row r="40" spans="1:4" x14ac:dyDescent="0.35">
      <c r="A40" s="8" t="s">
        <v>603</v>
      </c>
      <c r="B40" s="1" t="s">
        <v>77</v>
      </c>
      <c r="D40" s="1"/>
    </row>
    <row r="41" spans="1:4" x14ac:dyDescent="0.35">
      <c r="A41" s="8" t="s">
        <v>604</v>
      </c>
      <c r="B41" s="1" t="s">
        <v>77</v>
      </c>
      <c r="D41" s="1"/>
    </row>
    <row r="42" spans="1:4" x14ac:dyDescent="0.35">
      <c r="A42" s="8" t="s">
        <v>605</v>
      </c>
      <c r="B42" s="1" t="s">
        <v>77</v>
      </c>
      <c r="D42" s="1"/>
    </row>
    <row r="43" spans="1:4" x14ac:dyDescent="0.35">
      <c r="A43" s="8" t="s">
        <v>606</v>
      </c>
      <c r="B43" s="1" t="s">
        <v>77</v>
      </c>
      <c r="D43" s="1"/>
    </row>
    <row r="44" spans="1:4" x14ac:dyDescent="0.35">
      <c r="A44" s="8" t="s">
        <v>607</v>
      </c>
      <c r="B44" s="1" t="s">
        <v>77</v>
      </c>
      <c r="D44" s="1"/>
    </row>
    <row r="45" spans="1:4" x14ac:dyDescent="0.35">
      <c r="A45" s="8" t="s">
        <v>608</v>
      </c>
      <c r="B45" s="1" t="s">
        <v>77</v>
      </c>
      <c r="D45" s="1"/>
    </row>
    <row r="46" spans="1:4" x14ac:dyDescent="0.35">
      <c r="A46" s="8" t="s">
        <v>609</v>
      </c>
      <c r="B46" s="1" t="s">
        <v>77</v>
      </c>
      <c r="D46" s="1"/>
    </row>
    <row r="47" spans="1:4" x14ac:dyDescent="0.35">
      <c r="A47" s="8" t="s">
        <v>610</v>
      </c>
      <c r="B47" s="1" t="s">
        <v>77</v>
      </c>
      <c r="D47" s="1"/>
    </row>
    <row r="48" spans="1:4" x14ac:dyDescent="0.35">
      <c r="A48" s="8" t="s">
        <v>611</v>
      </c>
      <c r="B48" s="1" t="s">
        <v>44</v>
      </c>
      <c r="D48" s="1" t="s">
        <v>42</v>
      </c>
    </row>
    <row r="49" spans="1:4" x14ac:dyDescent="0.35">
      <c r="A49" s="8" t="s">
        <v>612</v>
      </c>
      <c r="B49" s="1" t="s">
        <v>77</v>
      </c>
      <c r="D49" s="1"/>
    </row>
    <row r="50" spans="1:4" x14ac:dyDescent="0.35">
      <c r="A50" s="8"/>
      <c r="B50" s="1"/>
      <c r="D50" s="1"/>
    </row>
    <row r="51" spans="1:4" x14ac:dyDescent="0.35">
      <c r="A51" s="8"/>
      <c r="B51" s="1"/>
      <c r="D51" s="1"/>
    </row>
  </sheetData>
  <pageMargins left="0.7" right="0.7" top="0.75" bottom="0.75" header="0.3" footer="0.3"/>
  <headerFooter>
    <oddFooter>&amp;L_x000D_&amp;1#&amp;"Aptos"&amp;10&amp;K000000 DS SMITH-BUSINESS USE</oddFoot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38C7-F730-4515-99FC-638D978A6199}">
  <sheetPr>
    <tabColor rgb="FF00B050"/>
  </sheetPr>
  <dimension ref="A1:F26"/>
  <sheetViews>
    <sheetView workbookViewId="0">
      <selection activeCell="E3" sqref="E3:E26"/>
    </sheetView>
  </sheetViews>
  <sheetFormatPr defaultColWidth="8.7265625" defaultRowHeight="14.5" x14ac:dyDescent="0.35"/>
  <cols>
    <col min="1" max="1" width="50.54296875" customWidth="1"/>
    <col min="2" max="2" width="11.453125" bestFit="1" customWidth="1"/>
    <col min="3" max="3" width="64.81640625" bestFit="1" customWidth="1"/>
  </cols>
  <sheetData>
    <row r="1" spans="1:6" x14ac:dyDescent="0.35">
      <c r="B1">
        <f>COUNTA(B4:B26)</f>
        <v>21</v>
      </c>
      <c r="D1">
        <f>COUNTA(E4:E26)</f>
        <v>9</v>
      </c>
      <c r="F1" s="14">
        <f>D1/B1</f>
        <v>0.42857142857142855</v>
      </c>
    </row>
    <row r="2" spans="1:6" x14ac:dyDescent="0.35">
      <c r="F2" s="14"/>
    </row>
    <row r="3" spans="1:6" x14ac:dyDescent="0.35">
      <c r="A3" s="38" t="s">
        <v>37</v>
      </c>
      <c r="B3" s="39" t="s">
        <v>38</v>
      </c>
      <c r="C3" s="39" t="s">
        <v>613</v>
      </c>
      <c r="E3" s="39" t="s">
        <v>39</v>
      </c>
    </row>
    <row r="4" spans="1:6" x14ac:dyDescent="0.35">
      <c r="A4" s="6" t="s">
        <v>614</v>
      </c>
      <c r="B4" s="5" t="s">
        <v>375</v>
      </c>
      <c r="C4" s="1" t="s">
        <v>615</v>
      </c>
      <c r="E4" s="1"/>
    </row>
    <row r="5" spans="1:6" x14ac:dyDescent="0.35">
      <c r="A5" s="6" t="s">
        <v>60</v>
      </c>
      <c r="B5" s="5" t="s">
        <v>375</v>
      </c>
      <c r="C5" s="1" t="s">
        <v>61</v>
      </c>
      <c r="E5" s="1" t="s">
        <v>42</v>
      </c>
    </row>
    <row r="6" spans="1:6" x14ac:dyDescent="0.35">
      <c r="A6" s="7" t="s">
        <v>616</v>
      </c>
      <c r="B6" s="1" t="str">
        <f>"--"</f>
        <v>--</v>
      </c>
      <c r="C6" s="1" t="s">
        <v>617</v>
      </c>
      <c r="E6" s="1"/>
    </row>
    <row r="7" spans="1:6" x14ac:dyDescent="0.35">
      <c r="A7" s="7" t="s">
        <v>618</v>
      </c>
      <c r="B7" s="1" t="s">
        <v>63</v>
      </c>
      <c r="C7" s="1"/>
      <c r="E7" s="1" t="s">
        <v>42</v>
      </c>
    </row>
    <row r="8" spans="1:6" x14ac:dyDescent="0.35">
      <c r="A8" s="6" t="s">
        <v>619</v>
      </c>
      <c r="B8" s="5" t="s">
        <v>375</v>
      </c>
      <c r="C8" s="1" t="s">
        <v>620</v>
      </c>
      <c r="E8" s="1"/>
    </row>
    <row r="9" spans="1:6" x14ac:dyDescent="0.35">
      <c r="A9" s="7" t="s">
        <v>621</v>
      </c>
      <c r="B9" s="1" t="s">
        <v>622</v>
      </c>
      <c r="C9" s="1"/>
      <c r="E9" s="1" t="s">
        <v>42</v>
      </c>
    </row>
    <row r="10" spans="1:6" x14ac:dyDescent="0.35">
      <c r="A10" s="7" t="s">
        <v>623</v>
      </c>
      <c r="B10" s="1" t="s">
        <v>624</v>
      </c>
      <c r="C10" s="1"/>
      <c r="E10" s="1" t="s">
        <v>42</v>
      </c>
    </row>
    <row r="11" spans="1:6" x14ac:dyDescent="0.35">
      <c r="A11" s="6" t="s">
        <v>625</v>
      </c>
      <c r="B11" s="5" t="s">
        <v>375</v>
      </c>
      <c r="C11" s="1" t="s">
        <v>626</v>
      </c>
      <c r="E11" s="1"/>
    </row>
    <row r="12" spans="1:6" x14ac:dyDescent="0.35">
      <c r="A12" s="7" t="s">
        <v>627</v>
      </c>
      <c r="C12" s="1" t="s">
        <v>628</v>
      </c>
      <c r="E12" s="1"/>
    </row>
    <row r="13" spans="1:6" x14ac:dyDescent="0.35">
      <c r="A13" s="7" t="s">
        <v>629</v>
      </c>
      <c r="B13" s="1"/>
      <c r="C13" s="1" t="s">
        <v>628</v>
      </c>
      <c r="E13" s="1"/>
    </row>
    <row r="14" spans="1:6" x14ac:dyDescent="0.35">
      <c r="A14" s="7" t="s">
        <v>630</v>
      </c>
      <c r="B14" s="1" t="s">
        <v>631</v>
      </c>
      <c r="C14" s="1" t="s">
        <v>632</v>
      </c>
      <c r="E14" s="1" t="s">
        <v>42</v>
      </c>
    </row>
    <row r="15" spans="1:6" x14ac:dyDescent="0.35">
      <c r="A15" s="6" t="s">
        <v>633</v>
      </c>
      <c r="B15" s="5" t="s">
        <v>375</v>
      </c>
      <c r="C15" s="1" t="s">
        <v>634</v>
      </c>
      <c r="E15" s="1"/>
    </row>
    <row r="16" spans="1:6" x14ac:dyDescent="0.35">
      <c r="A16" s="6" t="s">
        <v>635</v>
      </c>
      <c r="B16" s="5" t="s">
        <v>375</v>
      </c>
      <c r="C16" s="1" t="s">
        <v>636</v>
      </c>
      <c r="E16" s="1"/>
    </row>
    <row r="17" spans="1:5" x14ac:dyDescent="0.35">
      <c r="A17" s="7" t="s">
        <v>637</v>
      </c>
      <c r="B17" s="1" t="s">
        <v>638</v>
      </c>
      <c r="C17" s="1" t="s">
        <v>639</v>
      </c>
      <c r="E17" s="1" t="s">
        <v>42</v>
      </c>
    </row>
    <row r="18" spans="1:5" x14ac:dyDescent="0.35">
      <c r="A18" s="7" t="s">
        <v>640</v>
      </c>
      <c r="B18" s="1" t="s">
        <v>641</v>
      </c>
      <c r="C18" s="1" t="s">
        <v>639</v>
      </c>
      <c r="E18" s="1" t="s">
        <v>42</v>
      </c>
    </row>
    <row r="19" spans="1:5" x14ac:dyDescent="0.35">
      <c r="A19" s="7" t="s">
        <v>642</v>
      </c>
      <c r="B19" s="1" t="str">
        <f>"--"</f>
        <v>--</v>
      </c>
      <c r="C19" s="1" t="s">
        <v>643</v>
      </c>
      <c r="E19" s="1"/>
    </row>
    <row r="20" spans="1:5" x14ac:dyDescent="0.35">
      <c r="A20" s="7" t="s">
        <v>644</v>
      </c>
      <c r="B20" s="1" t="str">
        <f>"--"</f>
        <v>--</v>
      </c>
      <c r="C20" s="1" t="s">
        <v>645</v>
      </c>
      <c r="E20" s="1"/>
    </row>
    <row r="21" spans="1:5" x14ac:dyDescent="0.35">
      <c r="A21" s="7" t="s">
        <v>646</v>
      </c>
      <c r="B21" s="1" t="str">
        <f>"--"</f>
        <v>--</v>
      </c>
      <c r="C21" s="1" t="s">
        <v>643</v>
      </c>
      <c r="E21" s="1"/>
    </row>
    <row r="22" spans="1:5" x14ac:dyDescent="0.35">
      <c r="A22" s="7" t="s">
        <v>647</v>
      </c>
      <c r="B22" s="1" t="str">
        <f>"--"</f>
        <v>--</v>
      </c>
      <c r="C22" s="1" t="s">
        <v>648</v>
      </c>
      <c r="E22" s="1"/>
    </row>
    <row r="23" spans="1:5" x14ac:dyDescent="0.35">
      <c r="A23" s="7" t="s">
        <v>649</v>
      </c>
      <c r="B23" s="1" t="s">
        <v>650</v>
      </c>
      <c r="C23" s="1" t="s">
        <v>639</v>
      </c>
      <c r="E23" s="1" t="s">
        <v>42</v>
      </c>
    </row>
    <row r="24" spans="1:5" x14ac:dyDescent="0.35">
      <c r="A24" s="7" t="s">
        <v>651</v>
      </c>
      <c r="B24" s="1" t="str">
        <f>"--"</f>
        <v>--</v>
      </c>
      <c r="C24" s="1" t="s">
        <v>643</v>
      </c>
      <c r="E24" s="1"/>
    </row>
    <row r="25" spans="1:5" x14ac:dyDescent="0.35">
      <c r="A25" s="7" t="s">
        <v>652</v>
      </c>
      <c r="B25" s="1" t="s">
        <v>653</v>
      </c>
      <c r="C25" s="1" t="s">
        <v>639</v>
      </c>
      <c r="E25" s="1" t="s">
        <v>42</v>
      </c>
    </row>
    <row r="26" spans="1:5" x14ac:dyDescent="0.35">
      <c r="A26" s="7" t="s">
        <v>654</v>
      </c>
      <c r="B26" s="1" t="str">
        <f>"--"</f>
        <v>--</v>
      </c>
      <c r="C26" s="1" t="s">
        <v>643</v>
      </c>
      <c r="E26" s="1"/>
    </row>
  </sheetData>
  <pageMargins left="0.7" right="0.7" top="0.75" bottom="0.75" header="0.3" footer="0.3"/>
  <headerFooter>
    <oddFooter>&amp;L_x000D_&amp;1#&amp;"Aptos"&amp;10&amp;K000000 DS SMITH-BUSINESS USE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6C23-CB0C-4535-A4B4-2E164F85B60E}">
  <sheetPr>
    <tabColor rgb="FF00B050"/>
  </sheetPr>
  <dimension ref="A1:F134"/>
  <sheetViews>
    <sheetView workbookViewId="0">
      <selection activeCell="C141" sqref="C141"/>
    </sheetView>
  </sheetViews>
  <sheetFormatPr defaultColWidth="8.7265625" defaultRowHeight="14.5" x14ac:dyDescent="0.35"/>
  <cols>
    <col min="1" max="1" width="50.54296875" customWidth="1"/>
    <col min="2" max="2" width="11.453125" bestFit="1" customWidth="1"/>
  </cols>
  <sheetData>
    <row r="1" spans="1:6" ht="15" thickBot="1" x14ac:dyDescent="0.4">
      <c r="B1" s="16">
        <f>COUNTA(B4:B134)</f>
        <v>117</v>
      </c>
      <c r="C1" s="17"/>
      <c r="D1" s="17">
        <f>COUNTA(D7:D134)</f>
        <v>1</v>
      </c>
      <c r="E1" s="17"/>
      <c r="F1" s="18">
        <f>D1/B1</f>
        <v>8.5470085470085479E-3</v>
      </c>
    </row>
    <row r="2" spans="1:6" x14ac:dyDescent="0.35">
      <c r="F2" s="14"/>
    </row>
    <row r="3" spans="1:6" x14ac:dyDescent="0.35">
      <c r="A3" s="38" t="s">
        <v>37</v>
      </c>
      <c r="B3" s="39" t="s">
        <v>38</v>
      </c>
      <c r="D3" s="39" t="s">
        <v>39</v>
      </c>
    </row>
    <row r="4" spans="1:6" x14ac:dyDescent="0.35">
      <c r="A4" s="11"/>
      <c r="B4" s="1"/>
      <c r="D4" s="1"/>
    </row>
    <row r="5" spans="1:6" x14ac:dyDescent="0.35">
      <c r="A5" s="10" t="s">
        <v>655</v>
      </c>
      <c r="B5" s="1"/>
      <c r="D5" s="1"/>
    </row>
    <row r="6" spans="1:6" x14ac:dyDescent="0.35">
      <c r="A6" s="11"/>
      <c r="B6" s="1"/>
      <c r="D6" s="1"/>
    </row>
    <row r="7" spans="1:6" x14ac:dyDescent="0.35">
      <c r="A7" s="11" t="s">
        <v>656</v>
      </c>
      <c r="B7" s="1" t="s">
        <v>657</v>
      </c>
      <c r="D7" s="1" t="s">
        <v>42</v>
      </c>
    </row>
    <row r="8" spans="1:6" x14ac:dyDescent="0.35">
      <c r="A8" s="8" t="s">
        <v>658</v>
      </c>
      <c r="B8" s="1" t="s">
        <v>77</v>
      </c>
      <c r="D8" s="1"/>
    </row>
    <row r="9" spans="1:6" x14ac:dyDescent="0.35">
      <c r="A9" s="8" t="s">
        <v>659</v>
      </c>
      <c r="B9" s="1" t="s">
        <v>77</v>
      </c>
      <c r="D9" s="1"/>
    </row>
    <row r="10" spans="1:6" x14ac:dyDescent="0.35">
      <c r="A10" s="8" t="s">
        <v>660</v>
      </c>
      <c r="B10" s="1" t="s">
        <v>77</v>
      </c>
      <c r="D10" s="1"/>
    </row>
    <row r="11" spans="1:6" x14ac:dyDescent="0.35">
      <c r="A11" s="8" t="s">
        <v>661</v>
      </c>
      <c r="B11" s="1" t="s">
        <v>77</v>
      </c>
      <c r="D11" s="1"/>
    </row>
    <row r="12" spans="1:6" x14ac:dyDescent="0.35">
      <c r="A12" s="8" t="s">
        <v>662</v>
      </c>
      <c r="B12" s="1" t="s">
        <v>77</v>
      </c>
      <c r="D12" s="1"/>
    </row>
    <row r="13" spans="1:6" x14ac:dyDescent="0.35">
      <c r="A13" s="8" t="s">
        <v>663</v>
      </c>
      <c r="B13" s="1" t="s">
        <v>77</v>
      </c>
      <c r="D13" s="1"/>
    </row>
    <row r="14" spans="1:6" x14ac:dyDescent="0.35">
      <c r="A14" s="8" t="s">
        <v>664</v>
      </c>
      <c r="B14" s="1" t="s">
        <v>77</v>
      </c>
      <c r="D14" s="1"/>
    </row>
    <row r="15" spans="1:6" x14ac:dyDescent="0.35">
      <c r="A15" s="8" t="s">
        <v>665</v>
      </c>
      <c r="B15" s="1" t="s">
        <v>77</v>
      </c>
      <c r="D15" s="1"/>
    </row>
    <row r="16" spans="1:6" x14ac:dyDescent="0.35">
      <c r="A16" s="8" t="s">
        <v>666</v>
      </c>
      <c r="B16" s="1" t="s">
        <v>77</v>
      </c>
      <c r="D16" s="1"/>
    </row>
    <row r="17" spans="1:4" x14ac:dyDescent="0.35">
      <c r="A17" s="8" t="s">
        <v>667</v>
      </c>
      <c r="B17" s="1" t="s">
        <v>77</v>
      </c>
      <c r="D17" s="1"/>
    </row>
    <row r="18" spans="1:4" x14ac:dyDescent="0.35">
      <c r="A18" s="8" t="s">
        <v>668</v>
      </c>
      <c r="B18" s="1" t="s">
        <v>77</v>
      </c>
      <c r="D18" s="1"/>
    </row>
    <row r="19" spans="1:4" x14ac:dyDescent="0.35">
      <c r="A19" s="8" t="s">
        <v>669</v>
      </c>
      <c r="B19" s="1" t="s">
        <v>77</v>
      </c>
      <c r="D19" s="1"/>
    </row>
    <row r="20" spans="1:4" x14ac:dyDescent="0.35">
      <c r="A20" s="8" t="s">
        <v>670</v>
      </c>
      <c r="B20" s="1" t="s">
        <v>77</v>
      </c>
      <c r="D20" s="1"/>
    </row>
    <row r="21" spans="1:4" x14ac:dyDescent="0.35">
      <c r="A21" s="8" t="s">
        <v>671</v>
      </c>
      <c r="B21" s="1" t="s">
        <v>77</v>
      </c>
      <c r="D21" s="1"/>
    </row>
    <row r="22" spans="1:4" x14ac:dyDescent="0.35">
      <c r="A22" s="8" t="s">
        <v>672</v>
      </c>
      <c r="B22" s="1" t="s">
        <v>77</v>
      </c>
      <c r="D22" s="1"/>
    </row>
    <row r="23" spans="1:4" x14ac:dyDescent="0.35">
      <c r="A23" s="8" t="s">
        <v>673</v>
      </c>
      <c r="B23" s="1" t="s">
        <v>77</v>
      </c>
      <c r="D23" s="1"/>
    </row>
    <row r="24" spans="1:4" x14ac:dyDescent="0.35">
      <c r="A24" s="8" t="s">
        <v>674</v>
      </c>
      <c r="B24" s="1" t="s">
        <v>77</v>
      </c>
      <c r="D24" s="1"/>
    </row>
    <row r="25" spans="1:4" x14ac:dyDescent="0.35">
      <c r="A25" s="8" t="s">
        <v>675</v>
      </c>
      <c r="B25" s="1" t="s">
        <v>77</v>
      </c>
      <c r="D25" s="1"/>
    </row>
    <row r="26" spans="1:4" x14ac:dyDescent="0.35">
      <c r="A26" s="8" t="s">
        <v>676</v>
      </c>
      <c r="B26" s="1" t="s">
        <v>77</v>
      </c>
      <c r="D26" s="1"/>
    </row>
    <row r="27" spans="1:4" x14ac:dyDescent="0.35">
      <c r="A27" s="8" t="s">
        <v>677</v>
      </c>
      <c r="B27" s="1" t="s">
        <v>77</v>
      </c>
      <c r="D27" s="1"/>
    </row>
    <row r="28" spans="1:4" x14ac:dyDescent="0.35">
      <c r="A28" s="8" t="s">
        <v>678</v>
      </c>
      <c r="B28" s="1" t="s">
        <v>77</v>
      </c>
      <c r="D28" s="1"/>
    </row>
    <row r="29" spans="1:4" x14ac:dyDescent="0.35">
      <c r="A29" s="8" t="s">
        <v>679</v>
      </c>
      <c r="B29" s="1" t="s">
        <v>77</v>
      </c>
      <c r="D29" s="1"/>
    </row>
    <row r="30" spans="1:4" x14ac:dyDescent="0.35">
      <c r="A30" s="8" t="s">
        <v>680</v>
      </c>
      <c r="B30" s="1" t="s">
        <v>77</v>
      </c>
      <c r="D30" s="1"/>
    </row>
    <row r="31" spans="1:4" x14ac:dyDescent="0.35">
      <c r="A31" s="8" t="s">
        <v>681</v>
      </c>
      <c r="B31" s="1" t="s">
        <v>77</v>
      </c>
      <c r="D31" s="1"/>
    </row>
    <row r="32" spans="1:4" x14ac:dyDescent="0.35">
      <c r="A32" s="8" t="s">
        <v>682</v>
      </c>
      <c r="B32" s="1" t="s">
        <v>77</v>
      </c>
      <c r="D32" s="1"/>
    </row>
    <row r="33" spans="1:4" x14ac:dyDescent="0.35">
      <c r="A33" s="8" t="s">
        <v>683</v>
      </c>
      <c r="B33" s="1" t="s">
        <v>77</v>
      </c>
      <c r="D33" s="1"/>
    </row>
    <row r="34" spans="1:4" x14ac:dyDescent="0.35">
      <c r="A34" s="8" t="s">
        <v>684</v>
      </c>
      <c r="B34" s="1" t="s">
        <v>77</v>
      </c>
      <c r="D34" s="1"/>
    </row>
    <row r="35" spans="1:4" x14ac:dyDescent="0.35">
      <c r="A35" s="8" t="s">
        <v>685</v>
      </c>
      <c r="B35" s="1" t="s">
        <v>77</v>
      </c>
      <c r="D35" s="1"/>
    </row>
    <row r="36" spans="1:4" x14ac:dyDescent="0.35">
      <c r="A36" s="8" t="s">
        <v>686</v>
      </c>
      <c r="B36" s="1" t="s">
        <v>77</v>
      </c>
      <c r="D36" s="1"/>
    </row>
    <row r="37" spans="1:4" x14ac:dyDescent="0.35">
      <c r="A37" s="8" t="s">
        <v>687</v>
      </c>
      <c r="B37" s="1" t="s">
        <v>77</v>
      </c>
      <c r="D37" s="1"/>
    </row>
    <row r="38" spans="1:4" x14ac:dyDescent="0.35">
      <c r="A38" s="8" t="s">
        <v>688</v>
      </c>
      <c r="B38" s="1" t="s">
        <v>77</v>
      </c>
      <c r="D38" s="1"/>
    </row>
    <row r="39" spans="1:4" x14ac:dyDescent="0.35">
      <c r="A39" s="8" t="s">
        <v>689</v>
      </c>
      <c r="B39" s="1" t="s">
        <v>77</v>
      </c>
      <c r="D39" s="1"/>
    </row>
    <row r="40" spans="1:4" x14ac:dyDescent="0.35">
      <c r="A40" s="8" t="s">
        <v>690</v>
      </c>
      <c r="B40" s="1" t="s">
        <v>77</v>
      </c>
      <c r="D40" s="1"/>
    </row>
    <row r="41" spans="1:4" x14ac:dyDescent="0.35">
      <c r="A41" s="8" t="s">
        <v>691</v>
      </c>
      <c r="B41" s="1" t="s">
        <v>77</v>
      </c>
      <c r="D41" s="1"/>
    </row>
    <row r="42" spans="1:4" x14ac:dyDescent="0.35">
      <c r="A42" s="8" t="s">
        <v>692</v>
      </c>
      <c r="B42" s="1" t="s">
        <v>77</v>
      </c>
      <c r="D42" s="1"/>
    </row>
    <row r="43" spans="1:4" x14ac:dyDescent="0.35">
      <c r="A43" s="8" t="s">
        <v>693</v>
      </c>
      <c r="B43" s="1" t="s">
        <v>77</v>
      </c>
      <c r="D43" s="1"/>
    </row>
    <row r="44" spans="1:4" x14ac:dyDescent="0.35">
      <c r="A44" s="8" t="s">
        <v>694</v>
      </c>
      <c r="B44" s="1" t="s">
        <v>77</v>
      </c>
      <c r="D44" s="1"/>
    </row>
    <row r="45" spans="1:4" x14ac:dyDescent="0.35">
      <c r="A45" s="8" t="s">
        <v>695</v>
      </c>
      <c r="B45" s="1" t="s">
        <v>77</v>
      </c>
      <c r="D45" s="1"/>
    </row>
    <row r="46" spans="1:4" x14ac:dyDescent="0.35">
      <c r="A46" s="8" t="s">
        <v>696</v>
      </c>
      <c r="B46" s="1" t="s">
        <v>77</v>
      </c>
      <c r="D46" s="1"/>
    </row>
    <row r="47" spans="1:4" x14ac:dyDescent="0.35">
      <c r="A47" s="8" t="s">
        <v>697</v>
      </c>
      <c r="B47" s="1" t="s">
        <v>77</v>
      </c>
      <c r="D47" s="1"/>
    </row>
    <row r="48" spans="1:4" x14ac:dyDescent="0.35">
      <c r="A48" s="8"/>
      <c r="B48" s="1"/>
      <c r="D48" s="1"/>
    </row>
    <row r="49" spans="1:4" x14ac:dyDescent="0.35">
      <c r="A49" s="8"/>
      <c r="B49" s="1"/>
      <c r="D49" s="1"/>
    </row>
    <row r="50" spans="1:4" x14ac:dyDescent="0.35">
      <c r="A50" s="10" t="s">
        <v>698</v>
      </c>
      <c r="B50" s="1"/>
      <c r="D50" s="1"/>
    </row>
    <row r="51" spans="1:4" x14ac:dyDescent="0.35">
      <c r="A51" s="8"/>
      <c r="B51" s="1"/>
      <c r="D51" s="1"/>
    </row>
    <row r="52" spans="1:4" x14ac:dyDescent="0.35">
      <c r="A52" s="8" t="s">
        <v>699</v>
      </c>
      <c r="B52" s="1" t="s">
        <v>77</v>
      </c>
      <c r="D52" s="1"/>
    </row>
    <row r="53" spans="1:4" x14ac:dyDescent="0.35">
      <c r="A53" s="8" t="s">
        <v>700</v>
      </c>
      <c r="B53" s="1" t="s">
        <v>77</v>
      </c>
      <c r="D53" s="1"/>
    </row>
    <row r="54" spans="1:4" x14ac:dyDescent="0.35">
      <c r="A54" s="8" t="s">
        <v>701</v>
      </c>
      <c r="B54" s="1" t="s">
        <v>77</v>
      </c>
      <c r="D54" s="1"/>
    </row>
    <row r="55" spans="1:4" x14ac:dyDescent="0.35">
      <c r="A55" s="8" t="s">
        <v>702</v>
      </c>
      <c r="B55" s="1" t="s">
        <v>77</v>
      </c>
      <c r="D55" s="1"/>
    </row>
    <row r="56" spans="1:4" x14ac:dyDescent="0.35">
      <c r="A56" s="8" t="s">
        <v>703</v>
      </c>
      <c r="B56" s="1" t="s">
        <v>77</v>
      </c>
      <c r="D56" s="1"/>
    </row>
    <row r="57" spans="1:4" x14ac:dyDescent="0.35">
      <c r="A57" s="8" t="s">
        <v>704</v>
      </c>
      <c r="B57" s="1" t="s">
        <v>77</v>
      </c>
      <c r="D57" s="1"/>
    </row>
    <row r="58" spans="1:4" x14ac:dyDescent="0.35">
      <c r="A58" s="8" t="s">
        <v>705</v>
      </c>
      <c r="B58" s="1" t="s">
        <v>77</v>
      </c>
      <c r="D58" s="1"/>
    </row>
    <row r="59" spans="1:4" x14ac:dyDescent="0.35">
      <c r="A59" s="8" t="s">
        <v>706</v>
      </c>
      <c r="B59" s="1" t="s">
        <v>77</v>
      </c>
      <c r="D59" s="1"/>
    </row>
    <row r="60" spans="1:4" x14ac:dyDescent="0.35">
      <c r="A60" s="8" t="s">
        <v>707</v>
      </c>
      <c r="B60" s="1" t="s">
        <v>77</v>
      </c>
      <c r="D60" s="1"/>
    </row>
    <row r="61" spans="1:4" x14ac:dyDescent="0.35">
      <c r="A61" s="8" t="s">
        <v>708</v>
      </c>
      <c r="B61" s="1" t="s">
        <v>77</v>
      </c>
      <c r="D61" s="1"/>
    </row>
    <row r="62" spans="1:4" x14ac:dyDescent="0.35">
      <c r="A62" s="8" t="s">
        <v>709</v>
      </c>
      <c r="B62" s="1" t="s">
        <v>77</v>
      </c>
      <c r="D62" s="1"/>
    </row>
    <row r="63" spans="1:4" x14ac:dyDescent="0.35">
      <c r="A63" s="8" t="s">
        <v>710</v>
      </c>
      <c r="B63" s="1" t="s">
        <v>77</v>
      </c>
      <c r="D63" s="1"/>
    </row>
    <row r="64" spans="1:4" x14ac:dyDescent="0.35">
      <c r="A64" s="8" t="s">
        <v>711</v>
      </c>
      <c r="B64" s="1" t="s">
        <v>77</v>
      </c>
      <c r="D64" s="1"/>
    </row>
    <row r="65" spans="1:4" x14ac:dyDescent="0.35">
      <c r="A65" s="8" t="s">
        <v>712</v>
      </c>
      <c r="B65" s="1" t="s">
        <v>77</v>
      </c>
      <c r="D65" s="1"/>
    </row>
    <row r="66" spans="1:4" x14ac:dyDescent="0.35">
      <c r="A66" s="11" t="s">
        <v>713</v>
      </c>
      <c r="B66" s="1" t="s">
        <v>77</v>
      </c>
      <c r="D66" s="1"/>
    </row>
    <row r="67" spans="1:4" x14ac:dyDescent="0.35">
      <c r="A67" s="11" t="s">
        <v>714</v>
      </c>
      <c r="B67" s="1" t="s">
        <v>77</v>
      </c>
      <c r="D67" s="1"/>
    </row>
    <row r="68" spans="1:4" x14ac:dyDescent="0.35">
      <c r="A68" s="11" t="s">
        <v>715</v>
      </c>
      <c r="B68" s="1" t="s">
        <v>77</v>
      </c>
      <c r="D68" s="1"/>
    </row>
    <row r="69" spans="1:4" x14ac:dyDescent="0.35">
      <c r="A69" s="11" t="s">
        <v>716</v>
      </c>
      <c r="B69" s="1" t="s">
        <v>77</v>
      </c>
      <c r="D69" s="1"/>
    </row>
    <row r="70" spans="1:4" x14ac:dyDescent="0.35">
      <c r="A70" s="11" t="s">
        <v>717</v>
      </c>
      <c r="B70" s="1" t="s">
        <v>77</v>
      </c>
      <c r="D70" s="1"/>
    </row>
    <row r="71" spans="1:4" x14ac:dyDescent="0.35">
      <c r="A71" s="11" t="s">
        <v>718</v>
      </c>
      <c r="B71" s="1" t="s">
        <v>77</v>
      </c>
      <c r="D71" s="1"/>
    </row>
    <row r="72" spans="1:4" x14ac:dyDescent="0.35">
      <c r="A72" s="11" t="s">
        <v>719</v>
      </c>
      <c r="B72" s="1" t="s">
        <v>77</v>
      </c>
      <c r="D72" s="1"/>
    </row>
    <row r="73" spans="1:4" x14ac:dyDescent="0.35">
      <c r="A73" s="11" t="s">
        <v>720</v>
      </c>
      <c r="B73" s="1" t="s">
        <v>77</v>
      </c>
      <c r="D73" s="1"/>
    </row>
    <row r="74" spans="1:4" x14ac:dyDescent="0.35">
      <c r="A74" s="11" t="s">
        <v>721</v>
      </c>
      <c r="B74" s="1" t="s">
        <v>77</v>
      </c>
      <c r="D74" s="1"/>
    </row>
    <row r="75" spans="1:4" x14ac:dyDescent="0.35">
      <c r="A75" s="11" t="s">
        <v>722</v>
      </c>
      <c r="B75" s="1" t="s">
        <v>77</v>
      </c>
      <c r="D75" s="1"/>
    </row>
    <row r="76" spans="1:4" x14ac:dyDescent="0.35">
      <c r="A76" s="11" t="s">
        <v>723</v>
      </c>
      <c r="B76" s="1" t="s">
        <v>77</v>
      </c>
      <c r="D76" s="1"/>
    </row>
    <row r="77" spans="1:4" x14ac:dyDescent="0.35">
      <c r="A77" s="11" t="s">
        <v>724</v>
      </c>
      <c r="B77" s="1" t="s">
        <v>77</v>
      </c>
      <c r="D77" s="1"/>
    </row>
    <row r="78" spans="1:4" x14ac:dyDescent="0.35">
      <c r="A78" s="11" t="s">
        <v>725</v>
      </c>
      <c r="B78" s="1" t="s">
        <v>77</v>
      </c>
      <c r="D78" s="1"/>
    </row>
    <row r="79" spans="1:4" x14ac:dyDescent="0.35">
      <c r="A79" s="11" t="s">
        <v>726</v>
      </c>
      <c r="B79" s="1" t="s">
        <v>77</v>
      </c>
      <c r="D79" s="1"/>
    </row>
    <row r="80" spans="1:4" x14ac:dyDescent="0.35">
      <c r="A80" s="11" t="s">
        <v>727</v>
      </c>
      <c r="B80" s="1" t="s">
        <v>77</v>
      </c>
      <c r="D80" s="1"/>
    </row>
    <row r="81" spans="1:4" x14ac:dyDescent="0.35">
      <c r="A81" s="11" t="s">
        <v>728</v>
      </c>
      <c r="B81" s="1" t="s">
        <v>77</v>
      </c>
      <c r="D81" s="1"/>
    </row>
    <row r="82" spans="1:4" x14ac:dyDescent="0.35">
      <c r="A82" s="11" t="s">
        <v>729</v>
      </c>
      <c r="B82" s="1" t="s">
        <v>77</v>
      </c>
      <c r="D82" s="1"/>
    </row>
    <row r="83" spans="1:4" x14ac:dyDescent="0.35">
      <c r="A83" s="11" t="s">
        <v>730</v>
      </c>
      <c r="B83" s="1" t="s">
        <v>77</v>
      </c>
      <c r="D83" s="1"/>
    </row>
    <row r="84" spans="1:4" x14ac:dyDescent="0.35">
      <c r="A84" s="11" t="s">
        <v>731</v>
      </c>
      <c r="B84" s="1" t="s">
        <v>77</v>
      </c>
      <c r="D84" s="1"/>
    </row>
    <row r="85" spans="1:4" x14ac:dyDescent="0.35">
      <c r="A85" s="11" t="s">
        <v>732</v>
      </c>
      <c r="B85" s="1" t="s">
        <v>77</v>
      </c>
      <c r="D85" s="1"/>
    </row>
    <row r="86" spans="1:4" x14ac:dyDescent="0.35">
      <c r="A86" s="11" t="s">
        <v>733</v>
      </c>
      <c r="B86" s="1" t="s">
        <v>77</v>
      </c>
      <c r="D86" s="1"/>
    </row>
    <row r="87" spans="1:4" x14ac:dyDescent="0.35">
      <c r="A87" s="11"/>
      <c r="B87" s="1"/>
      <c r="D87" s="1"/>
    </row>
    <row r="88" spans="1:4" x14ac:dyDescent="0.35">
      <c r="A88" s="10" t="s">
        <v>734</v>
      </c>
      <c r="B88" s="1"/>
      <c r="D88" s="1"/>
    </row>
    <row r="89" spans="1:4" x14ac:dyDescent="0.35">
      <c r="A89" s="11"/>
      <c r="B89" s="1"/>
      <c r="D89" s="1"/>
    </row>
    <row r="90" spans="1:4" x14ac:dyDescent="0.35">
      <c r="A90" s="10" t="s">
        <v>735</v>
      </c>
      <c r="B90" s="1"/>
      <c r="D90" s="1"/>
    </row>
    <row r="91" spans="1:4" x14ac:dyDescent="0.35">
      <c r="A91" s="11"/>
      <c r="B91" s="1"/>
      <c r="D91" s="1"/>
    </row>
    <row r="92" spans="1:4" x14ac:dyDescent="0.35">
      <c r="A92" s="11" t="s">
        <v>736</v>
      </c>
      <c r="B92" s="1" t="s">
        <v>77</v>
      </c>
      <c r="D92" s="1"/>
    </row>
    <row r="93" spans="1:4" x14ac:dyDescent="0.35">
      <c r="A93" s="11" t="s">
        <v>737</v>
      </c>
      <c r="B93" s="1" t="s">
        <v>77</v>
      </c>
      <c r="D93" s="1"/>
    </row>
    <row r="94" spans="1:4" x14ac:dyDescent="0.35">
      <c r="A94" s="11" t="s">
        <v>738</v>
      </c>
      <c r="B94" s="1" t="s">
        <v>77</v>
      </c>
      <c r="D94" s="1"/>
    </row>
    <row r="95" spans="1:4" x14ac:dyDescent="0.35">
      <c r="A95" s="8" t="s">
        <v>739</v>
      </c>
      <c r="B95" s="1" t="s">
        <v>77</v>
      </c>
      <c r="D95" s="1"/>
    </row>
    <row r="96" spans="1:4" x14ac:dyDescent="0.35">
      <c r="A96" s="8" t="s">
        <v>740</v>
      </c>
      <c r="B96" s="1" t="s">
        <v>77</v>
      </c>
      <c r="D96" s="1"/>
    </row>
    <row r="97" spans="1:4" x14ac:dyDescent="0.35">
      <c r="A97" s="11" t="s">
        <v>741</v>
      </c>
      <c r="B97" s="1" t="s">
        <v>77</v>
      </c>
      <c r="D97" s="1"/>
    </row>
    <row r="98" spans="1:4" x14ac:dyDescent="0.35">
      <c r="A98" s="11" t="s">
        <v>742</v>
      </c>
      <c r="B98" s="1" t="s">
        <v>77</v>
      </c>
      <c r="D98" s="1"/>
    </row>
    <row r="99" spans="1:4" x14ac:dyDescent="0.35">
      <c r="A99" s="11" t="s">
        <v>743</v>
      </c>
      <c r="B99" s="1" t="s">
        <v>77</v>
      </c>
      <c r="D99" s="1"/>
    </row>
    <row r="100" spans="1:4" x14ac:dyDescent="0.35">
      <c r="A100" s="8" t="s">
        <v>744</v>
      </c>
      <c r="B100" s="1" t="s">
        <v>77</v>
      </c>
      <c r="D100" s="1"/>
    </row>
    <row r="101" spans="1:4" x14ac:dyDescent="0.35">
      <c r="A101" s="8" t="s">
        <v>745</v>
      </c>
      <c r="B101" s="1" t="s">
        <v>77</v>
      </c>
      <c r="D101" s="1"/>
    </row>
    <row r="102" spans="1:4" x14ac:dyDescent="0.35">
      <c r="A102" s="11" t="s">
        <v>746</v>
      </c>
      <c r="B102" s="1" t="s">
        <v>77</v>
      </c>
      <c r="D102" s="1"/>
    </row>
    <row r="103" spans="1:4" x14ac:dyDescent="0.35">
      <c r="A103" s="11" t="s">
        <v>747</v>
      </c>
      <c r="B103" s="1" t="s">
        <v>77</v>
      </c>
      <c r="D103" s="1"/>
    </row>
    <row r="104" spans="1:4" x14ac:dyDescent="0.35">
      <c r="A104" s="11" t="s">
        <v>748</v>
      </c>
      <c r="B104" s="1" t="s">
        <v>77</v>
      </c>
      <c r="D104" s="1"/>
    </row>
    <row r="105" spans="1:4" x14ac:dyDescent="0.35">
      <c r="A105" s="8" t="s">
        <v>749</v>
      </c>
      <c r="B105" s="1" t="s">
        <v>77</v>
      </c>
      <c r="D105" s="1"/>
    </row>
    <row r="106" spans="1:4" x14ac:dyDescent="0.35">
      <c r="A106" s="8" t="s">
        <v>750</v>
      </c>
      <c r="B106" s="1" t="s">
        <v>77</v>
      </c>
      <c r="D106" s="1"/>
    </row>
    <row r="107" spans="1:4" x14ac:dyDescent="0.35">
      <c r="A107" s="11" t="s">
        <v>751</v>
      </c>
      <c r="B107" s="1" t="s">
        <v>77</v>
      </c>
      <c r="D107" s="1"/>
    </row>
    <row r="108" spans="1:4" x14ac:dyDescent="0.35">
      <c r="A108" s="11" t="s">
        <v>752</v>
      </c>
      <c r="B108" s="1" t="s">
        <v>77</v>
      </c>
      <c r="D108" s="1"/>
    </row>
    <row r="109" spans="1:4" x14ac:dyDescent="0.35">
      <c r="A109" s="11" t="s">
        <v>753</v>
      </c>
      <c r="B109" s="1" t="s">
        <v>77</v>
      </c>
      <c r="D109" s="1"/>
    </row>
    <row r="110" spans="1:4" x14ac:dyDescent="0.35">
      <c r="A110" s="8" t="s">
        <v>754</v>
      </c>
      <c r="B110" s="1" t="s">
        <v>77</v>
      </c>
      <c r="D110" s="1"/>
    </row>
    <row r="111" spans="1:4" x14ac:dyDescent="0.35">
      <c r="A111" s="11" t="s">
        <v>755</v>
      </c>
      <c r="B111" s="1" t="s">
        <v>77</v>
      </c>
      <c r="D111" s="1"/>
    </row>
    <row r="112" spans="1:4" x14ac:dyDescent="0.35">
      <c r="A112" s="11" t="s">
        <v>756</v>
      </c>
      <c r="B112" s="1" t="s">
        <v>77</v>
      </c>
      <c r="D112" s="1"/>
    </row>
    <row r="113" spans="1:4" x14ac:dyDescent="0.35">
      <c r="A113" s="11" t="s">
        <v>757</v>
      </c>
      <c r="B113" s="1" t="s">
        <v>77</v>
      </c>
      <c r="D113" s="1"/>
    </row>
    <row r="114" spans="1:4" x14ac:dyDescent="0.35">
      <c r="A114" s="8" t="s">
        <v>758</v>
      </c>
      <c r="B114" s="1" t="s">
        <v>77</v>
      </c>
      <c r="D114" s="1"/>
    </row>
    <row r="115" spans="1:4" x14ac:dyDescent="0.35">
      <c r="A115" s="8" t="s">
        <v>759</v>
      </c>
      <c r="B115" s="1" t="s">
        <v>77</v>
      </c>
      <c r="D115" s="1"/>
    </row>
    <row r="116" spans="1:4" x14ac:dyDescent="0.35">
      <c r="A116" s="11" t="s">
        <v>760</v>
      </c>
      <c r="B116" s="1" t="s">
        <v>77</v>
      </c>
      <c r="D116" s="1"/>
    </row>
    <row r="117" spans="1:4" x14ac:dyDescent="0.35">
      <c r="A117" s="11" t="s">
        <v>761</v>
      </c>
      <c r="B117" s="1" t="s">
        <v>77</v>
      </c>
      <c r="D117" s="1"/>
    </row>
    <row r="118" spans="1:4" x14ac:dyDescent="0.35">
      <c r="A118" s="11" t="s">
        <v>762</v>
      </c>
      <c r="B118" s="1" t="s">
        <v>77</v>
      </c>
      <c r="D118" s="1"/>
    </row>
    <row r="119" spans="1:4" x14ac:dyDescent="0.35">
      <c r="A119" s="8" t="s">
        <v>763</v>
      </c>
      <c r="B119" s="1" t="s">
        <v>77</v>
      </c>
      <c r="D119" s="1"/>
    </row>
    <row r="120" spans="1:4" x14ac:dyDescent="0.35">
      <c r="A120" s="8" t="s">
        <v>764</v>
      </c>
      <c r="B120" s="1" t="s">
        <v>77</v>
      </c>
      <c r="D120" s="1"/>
    </row>
    <row r="121" spans="1:4" x14ac:dyDescent="0.35">
      <c r="A121" s="11"/>
      <c r="B121" s="1"/>
      <c r="D121" s="1"/>
    </row>
    <row r="122" spans="1:4" x14ac:dyDescent="0.35">
      <c r="A122" s="8" t="s">
        <v>765</v>
      </c>
      <c r="B122" s="1" t="s">
        <v>77</v>
      </c>
      <c r="D122" s="1"/>
    </row>
    <row r="123" spans="1:4" x14ac:dyDescent="0.35">
      <c r="A123" s="8" t="s">
        <v>766</v>
      </c>
      <c r="B123" s="1" t="s">
        <v>77</v>
      </c>
      <c r="D123" s="1"/>
    </row>
    <row r="124" spans="1:4" x14ac:dyDescent="0.35">
      <c r="A124" s="8" t="s">
        <v>767</v>
      </c>
      <c r="B124" s="1" t="s">
        <v>77</v>
      </c>
      <c r="D124" s="1"/>
    </row>
    <row r="125" spans="1:4" x14ac:dyDescent="0.35">
      <c r="A125" s="11" t="s">
        <v>768</v>
      </c>
      <c r="B125" s="1" t="s">
        <v>77</v>
      </c>
      <c r="D125" s="1"/>
    </row>
    <row r="126" spans="1:4" x14ac:dyDescent="0.35">
      <c r="A126" s="11" t="s">
        <v>769</v>
      </c>
      <c r="B126" s="1" t="s">
        <v>77</v>
      </c>
      <c r="D126" s="1"/>
    </row>
    <row r="127" spans="1:4" x14ac:dyDescent="0.35">
      <c r="A127" s="11" t="s">
        <v>770</v>
      </c>
      <c r="B127" s="1" t="s">
        <v>77</v>
      </c>
      <c r="D127" s="1"/>
    </row>
    <row r="128" spans="1:4" x14ac:dyDescent="0.35">
      <c r="A128" s="11" t="s">
        <v>771</v>
      </c>
      <c r="B128" s="1" t="s">
        <v>77</v>
      </c>
      <c r="D128" s="1"/>
    </row>
    <row r="129" spans="1:4" x14ac:dyDescent="0.35">
      <c r="A129" s="11" t="s">
        <v>772</v>
      </c>
      <c r="B129" s="1" t="s">
        <v>77</v>
      </c>
      <c r="D129" s="1"/>
    </row>
    <row r="130" spans="1:4" x14ac:dyDescent="0.35">
      <c r="A130" s="11" t="s">
        <v>773</v>
      </c>
      <c r="B130" s="1" t="s">
        <v>77</v>
      </c>
      <c r="D130" s="1"/>
    </row>
    <row r="131" spans="1:4" x14ac:dyDescent="0.35">
      <c r="A131" s="8" t="s">
        <v>774</v>
      </c>
      <c r="B131" s="1" t="s">
        <v>77</v>
      </c>
      <c r="D131" s="1"/>
    </row>
    <row r="132" spans="1:4" x14ac:dyDescent="0.35">
      <c r="A132" s="11" t="s">
        <v>775</v>
      </c>
      <c r="B132" s="1" t="s">
        <v>77</v>
      </c>
      <c r="D132" s="1"/>
    </row>
    <row r="133" spans="1:4" x14ac:dyDescent="0.35">
      <c r="A133" s="11" t="s">
        <v>775</v>
      </c>
      <c r="B133" s="1" t="s">
        <v>77</v>
      </c>
      <c r="D133" s="1"/>
    </row>
    <row r="134" spans="1:4" x14ac:dyDescent="0.35">
      <c r="A134" s="8"/>
      <c r="B134" s="1"/>
      <c r="D134" s="1"/>
    </row>
  </sheetData>
  <pageMargins left="0.7" right="0.7" top="0.75" bottom="0.75" header="0.3" footer="0.3"/>
  <headerFooter>
    <oddFooter>&amp;L_x000D_&amp;1#&amp;"Aptos"&amp;10&amp;K000000 DS SMITH-BUSINESS USE</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AE1E-11F1-4AE3-BC0B-0432A18DB02D}">
  <sheetPr>
    <tabColor rgb="FF00B050"/>
  </sheetPr>
  <dimension ref="A1:F56"/>
  <sheetViews>
    <sheetView topLeftCell="A57" workbookViewId="0">
      <selection activeCell="D8" sqref="D8"/>
    </sheetView>
  </sheetViews>
  <sheetFormatPr defaultColWidth="8.7265625" defaultRowHeight="14.5" x14ac:dyDescent="0.35"/>
  <cols>
    <col min="1" max="1" width="50.54296875" customWidth="1"/>
    <col min="2" max="2" width="11.453125" bestFit="1" customWidth="1"/>
  </cols>
  <sheetData>
    <row r="1" spans="1:6" x14ac:dyDescent="0.35">
      <c r="B1">
        <f>COUNTA(B4:B56)</f>
        <v>53</v>
      </c>
      <c r="D1">
        <f>COUNTA(D4:D56)</f>
        <v>0</v>
      </c>
      <c r="F1">
        <f>D1/B1</f>
        <v>0</v>
      </c>
    </row>
    <row r="3" spans="1:6" x14ac:dyDescent="0.35">
      <c r="A3" s="38" t="s">
        <v>37</v>
      </c>
      <c r="B3" s="39" t="s">
        <v>38</v>
      </c>
      <c r="D3" s="39" t="s">
        <v>39</v>
      </c>
    </row>
    <row r="4" spans="1:6" x14ac:dyDescent="0.35">
      <c r="A4" s="11" t="s">
        <v>776</v>
      </c>
      <c r="B4" s="1" t="s">
        <v>77</v>
      </c>
      <c r="D4" s="1"/>
    </row>
    <row r="5" spans="1:6" x14ac:dyDescent="0.35">
      <c r="A5" s="8" t="s">
        <v>777</v>
      </c>
      <c r="B5" s="1" t="s">
        <v>77</v>
      </c>
      <c r="D5" s="1"/>
    </row>
    <row r="6" spans="1:6" x14ac:dyDescent="0.35">
      <c r="A6" s="8" t="s">
        <v>778</v>
      </c>
      <c r="B6" s="1" t="s">
        <v>77</v>
      </c>
      <c r="D6" s="1"/>
    </row>
    <row r="7" spans="1:6" x14ac:dyDescent="0.35">
      <c r="A7" s="8" t="s">
        <v>779</v>
      </c>
      <c r="B7" s="1" t="s">
        <v>77</v>
      </c>
      <c r="D7" s="1"/>
    </row>
    <row r="8" spans="1:6" x14ac:dyDescent="0.35">
      <c r="A8" s="8" t="s">
        <v>780</v>
      </c>
      <c r="B8" s="1" t="s">
        <v>77</v>
      </c>
      <c r="D8" s="1"/>
    </row>
    <row r="9" spans="1:6" x14ac:dyDescent="0.35">
      <c r="A9" s="8" t="s">
        <v>781</v>
      </c>
      <c r="B9" s="1" t="s">
        <v>77</v>
      </c>
      <c r="D9" s="1"/>
    </row>
    <row r="10" spans="1:6" x14ac:dyDescent="0.35">
      <c r="A10" s="8" t="s">
        <v>782</v>
      </c>
      <c r="B10" s="1" t="s">
        <v>77</v>
      </c>
      <c r="D10" s="1"/>
    </row>
    <row r="11" spans="1:6" x14ac:dyDescent="0.35">
      <c r="A11" s="8" t="s">
        <v>783</v>
      </c>
      <c r="B11" s="1" t="s">
        <v>77</v>
      </c>
      <c r="D11" s="1"/>
    </row>
    <row r="12" spans="1:6" x14ac:dyDescent="0.35">
      <c r="A12" s="8" t="s">
        <v>784</v>
      </c>
      <c r="B12" s="1" t="s">
        <v>77</v>
      </c>
      <c r="D12" s="1"/>
    </row>
    <row r="13" spans="1:6" x14ac:dyDescent="0.35">
      <c r="A13" s="8" t="s">
        <v>785</v>
      </c>
      <c r="B13" s="1" t="s">
        <v>77</v>
      </c>
      <c r="D13" s="1"/>
    </row>
    <row r="14" spans="1:6" x14ac:dyDescent="0.35">
      <c r="A14" s="8" t="s">
        <v>786</v>
      </c>
      <c r="B14" s="1" t="s">
        <v>77</v>
      </c>
      <c r="D14" s="1"/>
    </row>
    <row r="15" spans="1:6" x14ac:dyDescent="0.35">
      <c r="A15" s="12" t="s">
        <v>787</v>
      </c>
      <c r="B15" s="5" t="s">
        <v>375</v>
      </c>
      <c r="D15" s="1"/>
    </row>
    <row r="16" spans="1:6" x14ac:dyDescent="0.35">
      <c r="A16" s="8" t="s">
        <v>788</v>
      </c>
      <c r="B16" s="1" t="s">
        <v>77</v>
      </c>
      <c r="D16" s="1"/>
    </row>
    <row r="17" spans="1:4" x14ac:dyDescent="0.35">
      <c r="A17" s="8" t="s">
        <v>789</v>
      </c>
      <c r="B17" s="1" t="s">
        <v>77</v>
      </c>
      <c r="D17" s="1"/>
    </row>
    <row r="18" spans="1:4" x14ac:dyDescent="0.35">
      <c r="A18" s="8" t="s">
        <v>790</v>
      </c>
      <c r="B18" s="1" t="s">
        <v>77</v>
      </c>
      <c r="D18" s="1"/>
    </row>
    <row r="19" spans="1:4" x14ac:dyDescent="0.35">
      <c r="A19" s="8" t="s">
        <v>791</v>
      </c>
      <c r="B19" s="1" t="s">
        <v>77</v>
      </c>
      <c r="D19" s="1"/>
    </row>
    <row r="20" spans="1:4" x14ac:dyDescent="0.35">
      <c r="A20" s="8" t="s">
        <v>792</v>
      </c>
      <c r="B20" s="1" t="s">
        <v>77</v>
      </c>
      <c r="D20" s="1"/>
    </row>
    <row r="21" spans="1:4" x14ac:dyDescent="0.35">
      <c r="A21" s="12" t="s">
        <v>793</v>
      </c>
      <c r="B21" s="5" t="s">
        <v>375</v>
      </c>
      <c r="D21" s="1"/>
    </row>
    <row r="22" spans="1:4" x14ac:dyDescent="0.35">
      <c r="A22" s="11" t="s">
        <v>794</v>
      </c>
      <c r="B22" s="1" t="s">
        <v>77</v>
      </c>
      <c r="D22" s="1"/>
    </row>
    <row r="23" spans="1:4" x14ac:dyDescent="0.35">
      <c r="A23" s="11" t="s">
        <v>795</v>
      </c>
      <c r="B23" s="1" t="s">
        <v>77</v>
      </c>
      <c r="D23" s="1"/>
    </row>
    <row r="24" spans="1:4" x14ac:dyDescent="0.35">
      <c r="A24" s="11" t="s">
        <v>796</v>
      </c>
      <c r="B24" s="1" t="s">
        <v>77</v>
      </c>
      <c r="D24" s="1"/>
    </row>
    <row r="25" spans="1:4" x14ac:dyDescent="0.35">
      <c r="A25" s="11" t="s">
        <v>797</v>
      </c>
      <c r="B25" s="5" t="s">
        <v>375</v>
      </c>
      <c r="D25" s="1"/>
    </row>
    <row r="26" spans="1:4" x14ac:dyDescent="0.35">
      <c r="A26" s="11" t="s">
        <v>798</v>
      </c>
      <c r="B26" s="1" t="s">
        <v>77</v>
      </c>
      <c r="D26" s="1"/>
    </row>
    <row r="27" spans="1:4" x14ac:dyDescent="0.35">
      <c r="A27" s="11" t="s">
        <v>799</v>
      </c>
      <c r="B27" s="1" t="s">
        <v>77</v>
      </c>
      <c r="D27" s="1"/>
    </row>
    <row r="28" spans="1:4" x14ac:dyDescent="0.35">
      <c r="A28" s="11" t="s">
        <v>800</v>
      </c>
      <c r="B28" s="1" t="s">
        <v>77</v>
      </c>
      <c r="D28" s="1"/>
    </row>
    <row r="29" spans="1:4" x14ac:dyDescent="0.35">
      <c r="A29" s="11" t="s">
        <v>801</v>
      </c>
      <c r="B29" s="1" t="s">
        <v>77</v>
      </c>
      <c r="D29" s="1"/>
    </row>
    <row r="30" spans="1:4" x14ac:dyDescent="0.35">
      <c r="A30" s="11" t="s">
        <v>802</v>
      </c>
      <c r="B30" s="1" t="s">
        <v>77</v>
      </c>
      <c r="D30" s="1"/>
    </row>
    <row r="31" spans="1:4" x14ac:dyDescent="0.35">
      <c r="A31" s="11" t="s">
        <v>803</v>
      </c>
      <c r="B31" s="1" t="s">
        <v>77</v>
      </c>
      <c r="D31" s="1"/>
    </row>
    <row r="32" spans="1:4" ht="17.25" customHeight="1" x14ac:dyDescent="0.35">
      <c r="A32" s="11" t="s">
        <v>804</v>
      </c>
      <c r="B32" s="1" t="s">
        <v>77</v>
      </c>
      <c r="D32" s="1"/>
    </row>
    <row r="33" spans="1:4" ht="17.25" customHeight="1" x14ac:dyDescent="0.35">
      <c r="A33" s="11" t="s">
        <v>805</v>
      </c>
      <c r="B33" s="1" t="s">
        <v>77</v>
      </c>
      <c r="D33" s="1"/>
    </row>
    <row r="34" spans="1:4" ht="17.25" customHeight="1" x14ac:dyDescent="0.35">
      <c r="A34" s="11" t="s">
        <v>806</v>
      </c>
      <c r="B34" s="1" t="s">
        <v>77</v>
      </c>
      <c r="D34" s="1"/>
    </row>
    <row r="35" spans="1:4" x14ac:dyDescent="0.35">
      <c r="A35" s="11" t="s">
        <v>807</v>
      </c>
      <c r="B35" s="1" t="s">
        <v>77</v>
      </c>
      <c r="D35" s="1"/>
    </row>
    <row r="36" spans="1:4" x14ac:dyDescent="0.35">
      <c r="A36" s="11" t="s">
        <v>808</v>
      </c>
      <c r="B36" s="1" t="s">
        <v>77</v>
      </c>
      <c r="D36" s="1"/>
    </row>
    <row r="37" spans="1:4" x14ac:dyDescent="0.35">
      <c r="A37" s="11" t="s">
        <v>809</v>
      </c>
      <c r="B37" s="1" t="s">
        <v>77</v>
      </c>
      <c r="D37" s="1"/>
    </row>
    <row r="38" spans="1:4" x14ac:dyDescent="0.35">
      <c r="A38" s="8" t="s">
        <v>810</v>
      </c>
      <c r="B38" s="1" t="s">
        <v>77</v>
      </c>
      <c r="D38" s="1"/>
    </row>
    <row r="39" spans="1:4" x14ac:dyDescent="0.35">
      <c r="A39" s="8" t="s">
        <v>811</v>
      </c>
      <c r="B39" s="1" t="s">
        <v>77</v>
      </c>
      <c r="D39" s="1"/>
    </row>
    <row r="40" spans="1:4" x14ac:dyDescent="0.35">
      <c r="A40" s="8" t="s">
        <v>812</v>
      </c>
      <c r="B40" s="1" t="s">
        <v>77</v>
      </c>
      <c r="D40" s="1"/>
    </row>
    <row r="41" spans="1:4" x14ac:dyDescent="0.35">
      <c r="A41" s="8" t="s">
        <v>813</v>
      </c>
      <c r="B41" s="1" t="s">
        <v>77</v>
      </c>
      <c r="D41" s="1"/>
    </row>
    <row r="42" spans="1:4" x14ac:dyDescent="0.35">
      <c r="A42" s="8" t="s">
        <v>814</v>
      </c>
      <c r="B42" s="1" t="s">
        <v>77</v>
      </c>
      <c r="D42" s="1"/>
    </row>
    <row r="43" spans="1:4" x14ac:dyDescent="0.35">
      <c r="A43" s="8" t="s">
        <v>815</v>
      </c>
      <c r="B43" s="1" t="s">
        <v>77</v>
      </c>
      <c r="D43" s="1"/>
    </row>
    <row r="44" spans="1:4" x14ac:dyDescent="0.35">
      <c r="A44" s="8" t="s">
        <v>816</v>
      </c>
      <c r="B44" s="1" t="s">
        <v>77</v>
      </c>
      <c r="D44" s="1"/>
    </row>
    <row r="45" spans="1:4" x14ac:dyDescent="0.35">
      <c r="A45" s="8" t="s">
        <v>817</v>
      </c>
      <c r="B45" s="1" t="s">
        <v>77</v>
      </c>
      <c r="D45" s="1"/>
    </row>
    <row r="46" spans="1:4" x14ac:dyDescent="0.35">
      <c r="A46" s="8" t="s">
        <v>818</v>
      </c>
      <c r="B46" s="1" t="s">
        <v>77</v>
      </c>
      <c r="D46" s="1"/>
    </row>
    <row r="47" spans="1:4" x14ac:dyDescent="0.35">
      <c r="A47" s="8" t="s">
        <v>819</v>
      </c>
      <c r="B47" s="1" t="s">
        <v>77</v>
      </c>
      <c r="D47" s="1"/>
    </row>
    <row r="48" spans="1:4" x14ac:dyDescent="0.35">
      <c r="A48" s="8" t="s">
        <v>820</v>
      </c>
      <c r="B48" s="1" t="s">
        <v>77</v>
      </c>
      <c r="D48" s="1"/>
    </row>
    <row r="49" spans="1:4" x14ac:dyDescent="0.35">
      <c r="A49" s="8" t="s">
        <v>821</v>
      </c>
      <c r="B49" s="1" t="s">
        <v>77</v>
      </c>
      <c r="D49" s="1"/>
    </row>
    <row r="50" spans="1:4" x14ac:dyDescent="0.35">
      <c r="A50" s="8" t="s">
        <v>822</v>
      </c>
      <c r="B50" s="1" t="s">
        <v>77</v>
      </c>
      <c r="D50" s="1"/>
    </row>
    <row r="51" spans="1:4" x14ac:dyDescent="0.35">
      <c r="A51" s="8" t="s">
        <v>823</v>
      </c>
      <c r="B51" s="1" t="s">
        <v>77</v>
      </c>
      <c r="D51" s="1"/>
    </row>
    <row r="52" spans="1:4" x14ac:dyDescent="0.35">
      <c r="A52" s="8" t="s">
        <v>824</v>
      </c>
      <c r="B52" s="1" t="s">
        <v>77</v>
      </c>
      <c r="D52" s="1"/>
    </row>
    <row r="53" spans="1:4" x14ac:dyDescent="0.35">
      <c r="A53" s="8" t="s">
        <v>825</v>
      </c>
      <c r="B53" s="1" t="s">
        <v>77</v>
      </c>
      <c r="D53" s="1"/>
    </row>
    <row r="54" spans="1:4" x14ac:dyDescent="0.35">
      <c r="A54" s="8" t="s">
        <v>826</v>
      </c>
      <c r="B54" s="1" t="s">
        <v>77</v>
      </c>
      <c r="D54" s="1"/>
    </row>
    <row r="55" spans="1:4" x14ac:dyDescent="0.35">
      <c r="A55" s="8" t="s">
        <v>827</v>
      </c>
      <c r="B55" s="1" t="s">
        <v>77</v>
      </c>
      <c r="D55" s="1"/>
    </row>
    <row r="56" spans="1:4" x14ac:dyDescent="0.35">
      <c r="A56" s="8" t="s">
        <v>828</v>
      </c>
      <c r="B56" s="1" t="s">
        <v>77</v>
      </c>
      <c r="D56" s="1"/>
    </row>
  </sheetData>
  <pageMargins left="0.7" right="0.7" top="0.75" bottom="0.75" header="0.3" footer="0.3"/>
  <headerFooter>
    <oddFooter>&amp;L_x000D_&amp;1#&amp;"Aptos"&amp;10&amp;K000000 DS SMITH-BUSINESS USE</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242D-F522-4B92-85E5-EF577E940C51}">
  <sheetPr>
    <tabColor rgb="FF00B050"/>
  </sheetPr>
  <dimension ref="A1:F19"/>
  <sheetViews>
    <sheetView workbookViewId="0">
      <selection activeCell="D3" sqref="D3:D19"/>
    </sheetView>
  </sheetViews>
  <sheetFormatPr defaultColWidth="8.7265625" defaultRowHeight="14.5" x14ac:dyDescent="0.35"/>
  <cols>
    <col min="1" max="1" width="50.54296875" customWidth="1"/>
    <col min="2" max="2" width="11.453125" bestFit="1" customWidth="1"/>
  </cols>
  <sheetData>
    <row r="1" spans="1:6" ht="15" thickBot="1" x14ac:dyDescent="0.4">
      <c r="B1" s="16">
        <f>COUNTA(B4:B18)</f>
        <v>15</v>
      </c>
      <c r="C1" s="17"/>
      <c r="D1" s="17">
        <f>COUNTA(D4:D18)</f>
        <v>0</v>
      </c>
      <c r="E1" s="17"/>
      <c r="F1" s="22">
        <f>D1/B1</f>
        <v>0</v>
      </c>
    </row>
    <row r="3" spans="1:6" x14ac:dyDescent="0.35">
      <c r="A3" s="38" t="s">
        <v>37</v>
      </c>
      <c r="B3" s="39" t="s">
        <v>38</v>
      </c>
      <c r="D3" s="39" t="s">
        <v>39</v>
      </c>
    </row>
    <row r="4" spans="1:6" x14ac:dyDescent="0.35">
      <c r="A4" s="11" t="s">
        <v>74</v>
      </c>
      <c r="B4" s="1" t="s">
        <v>77</v>
      </c>
      <c r="D4" s="1"/>
    </row>
    <row r="5" spans="1:6" x14ac:dyDescent="0.35">
      <c r="A5" s="11" t="s">
        <v>829</v>
      </c>
      <c r="B5" s="1" t="s">
        <v>77</v>
      </c>
      <c r="D5" s="1"/>
    </row>
    <row r="6" spans="1:6" x14ac:dyDescent="0.35">
      <c r="A6" s="8" t="s">
        <v>830</v>
      </c>
      <c r="B6" s="1" t="s">
        <v>77</v>
      </c>
      <c r="D6" s="1"/>
    </row>
    <row r="7" spans="1:6" x14ac:dyDescent="0.35">
      <c r="A7" s="11" t="s">
        <v>831</v>
      </c>
      <c r="B7" s="1" t="s">
        <v>77</v>
      </c>
      <c r="D7" s="1"/>
    </row>
    <row r="8" spans="1:6" x14ac:dyDescent="0.35">
      <c r="A8" s="11" t="s">
        <v>832</v>
      </c>
      <c r="B8" s="1" t="s">
        <v>77</v>
      </c>
      <c r="D8" s="1"/>
    </row>
    <row r="9" spans="1:6" x14ac:dyDescent="0.35">
      <c r="A9" s="8" t="s">
        <v>833</v>
      </c>
      <c r="B9" s="2" t="s">
        <v>834</v>
      </c>
      <c r="D9" s="1"/>
    </row>
    <row r="10" spans="1:6" x14ac:dyDescent="0.35">
      <c r="A10" s="8" t="s">
        <v>835</v>
      </c>
      <c r="B10" s="1" t="s">
        <v>77</v>
      </c>
      <c r="D10" s="1"/>
    </row>
    <row r="11" spans="1:6" x14ac:dyDescent="0.35">
      <c r="A11" s="8" t="s">
        <v>836</v>
      </c>
      <c r="B11" s="1" t="s">
        <v>77</v>
      </c>
      <c r="D11" s="1"/>
    </row>
    <row r="12" spans="1:6" x14ac:dyDescent="0.35">
      <c r="A12" s="12" t="s">
        <v>837</v>
      </c>
      <c r="B12" s="5" t="s">
        <v>375</v>
      </c>
      <c r="D12" s="1"/>
    </row>
    <row r="13" spans="1:6" x14ac:dyDescent="0.35">
      <c r="A13" s="12" t="s">
        <v>838</v>
      </c>
      <c r="B13" s="5" t="s">
        <v>375</v>
      </c>
      <c r="D13" s="1"/>
    </row>
    <row r="14" spans="1:6" x14ac:dyDescent="0.35">
      <c r="A14" s="11" t="s">
        <v>839</v>
      </c>
      <c r="B14" s="2" t="s">
        <v>840</v>
      </c>
      <c r="D14" s="1"/>
    </row>
    <row r="15" spans="1:6" x14ac:dyDescent="0.35">
      <c r="A15" s="11" t="s">
        <v>839</v>
      </c>
      <c r="B15" s="2" t="s">
        <v>841</v>
      </c>
      <c r="D15" s="1"/>
    </row>
    <row r="16" spans="1:6" x14ac:dyDescent="0.35">
      <c r="A16" s="11" t="s">
        <v>839</v>
      </c>
      <c r="B16" s="2" t="s">
        <v>842</v>
      </c>
      <c r="D16" s="1"/>
    </row>
    <row r="17" spans="1:4" x14ac:dyDescent="0.35">
      <c r="A17" s="11" t="s">
        <v>843</v>
      </c>
      <c r="B17" s="2" t="s">
        <v>844</v>
      </c>
      <c r="D17" s="1"/>
    </row>
    <row r="18" spans="1:4" x14ac:dyDescent="0.35">
      <c r="A18" s="11" t="s">
        <v>845</v>
      </c>
      <c r="B18" s="2" t="s">
        <v>846</v>
      </c>
      <c r="D18" s="1"/>
    </row>
    <row r="19" spans="1:4" x14ac:dyDescent="0.35">
      <c r="A19" s="8"/>
      <c r="B19" s="1"/>
      <c r="D19" s="1"/>
    </row>
  </sheetData>
  <pageMargins left="0.7" right="0.7" top="0.75" bottom="0.75" header="0.3" footer="0.3"/>
  <headerFooter>
    <oddFooter>&amp;L_x000D_&amp;1#&amp;"Aptos"&amp;10&amp;K000000 DS SMITH-BUSINESS USE</oddFooter>
  </headerFooter>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2B7D-86BF-46A7-80F1-8E98D9C1002D}">
  <sheetPr>
    <tabColor rgb="FF00B050"/>
  </sheetPr>
  <dimension ref="A1:F9"/>
  <sheetViews>
    <sheetView workbookViewId="0">
      <selection activeCell="C5" sqref="C5"/>
    </sheetView>
  </sheetViews>
  <sheetFormatPr defaultColWidth="8.7265625" defaultRowHeight="14.5" x14ac:dyDescent="0.35"/>
  <cols>
    <col min="1" max="1" width="50.54296875" customWidth="1"/>
    <col min="2" max="2" width="11.453125" bestFit="1" customWidth="1"/>
  </cols>
  <sheetData>
    <row r="1" spans="1:6" ht="15" thickBot="1" x14ac:dyDescent="0.4">
      <c r="B1" s="16">
        <f>COUNTA(B4:B9)</f>
        <v>6</v>
      </c>
      <c r="C1" s="17"/>
      <c r="D1" s="17">
        <f>COUNTA(D4:D9)</f>
        <v>0</v>
      </c>
      <c r="E1" s="17"/>
      <c r="F1" s="18">
        <f>D1/B1</f>
        <v>0</v>
      </c>
    </row>
    <row r="2" spans="1:6" x14ac:dyDescent="0.35">
      <c r="F2" s="14"/>
    </row>
    <row r="3" spans="1:6" x14ac:dyDescent="0.35">
      <c r="A3" s="38" t="s">
        <v>37</v>
      </c>
      <c r="B3" s="39" t="s">
        <v>38</v>
      </c>
      <c r="D3" s="39" t="s">
        <v>39</v>
      </c>
    </row>
    <row r="4" spans="1:6" x14ac:dyDescent="0.35">
      <c r="A4" s="8" t="s">
        <v>98</v>
      </c>
      <c r="B4" s="1" t="s">
        <v>847</v>
      </c>
      <c r="D4" s="1"/>
    </row>
    <row r="5" spans="1:6" x14ac:dyDescent="0.35">
      <c r="A5" s="11" t="s">
        <v>848</v>
      </c>
      <c r="B5" s="1" t="s">
        <v>77</v>
      </c>
      <c r="D5" s="1"/>
    </row>
    <row r="6" spans="1:6" x14ac:dyDescent="0.35">
      <c r="A6" s="8" t="s">
        <v>849</v>
      </c>
      <c r="B6" s="2" t="s">
        <v>850</v>
      </c>
      <c r="D6" s="1"/>
    </row>
    <row r="7" spans="1:6" x14ac:dyDescent="0.35">
      <c r="A7" s="8" t="s">
        <v>851</v>
      </c>
      <c r="B7" s="1" t="s">
        <v>77</v>
      </c>
      <c r="D7" s="1"/>
    </row>
    <row r="8" spans="1:6" x14ac:dyDescent="0.35">
      <c r="A8" s="6" t="s">
        <v>852</v>
      </c>
      <c r="B8" s="5" t="s">
        <v>158</v>
      </c>
      <c r="D8" s="1"/>
    </row>
    <row r="9" spans="1:6" x14ac:dyDescent="0.35">
      <c r="A9" s="12" t="s">
        <v>853</v>
      </c>
      <c r="B9" s="5" t="s">
        <v>158</v>
      </c>
      <c r="D9" s="1"/>
    </row>
  </sheetData>
  <pageMargins left="0.7" right="0.7" top="0.75" bottom="0.75" header="0.3" footer="0.3"/>
  <headerFooter>
    <oddFooter>&amp;L_x000D_&amp;1#&amp;"Aptos"&amp;10&amp;K000000 DS SMITH-BUSINESS USE</oddFooter>
  </headerFooter>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42CD-52B6-425B-98AA-F38C740000BB}">
  <sheetPr>
    <tabColor rgb="FF00B050"/>
  </sheetPr>
  <dimension ref="A1:F17"/>
  <sheetViews>
    <sheetView workbookViewId="0">
      <selection activeCell="F7" sqref="F7"/>
    </sheetView>
  </sheetViews>
  <sheetFormatPr defaultColWidth="8.7265625" defaultRowHeight="14.5" x14ac:dyDescent="0.35"/>
  <cols>
    <col min="1" max="1" width="50.54296875" customWidth="1"/>
    <col min="2" max="2" width="11.453125" bestFit="1" customWidth="1"/>
  </cols>
  <sheetData>
    <row r="1" spans="1:6" ht="15" thickBot="1" x14ac:dyDescent="0.4">
      <c r="B1" s="19">
        <f>COUNTA(B4:B17)</f>
        <v>14</v>
      </c>
      <c r="C1" s="20"/>
      <c r="D1" s="20">
        <f>COUNTA(D4:D17)</f>
        <v>3</v>
      </c>
      <c r="E1" s="20"/>
      <c r="F1" s="21">
        <f>D1/B1</f>
        <v>0.21428571428571427</v>
      </c>
    </row>
    <row r="2" spans="1:6" x14ac:dyDescent="0.35">
      <c r="F2" s="14"/>
    </row>
    <row r="3" spans="1:6" x14ac:dyDescent="0.35">
      <c r="A3" s="38" t="s">
        <v>37</v>
      </c>
      <c r="B3" s="39" t="s">
        <v>38</v>
      </c>
      <c r="D3" s="39" t="s">
        <v>39</v>
      </c>
    </row>
    <row r="4" spans="1:6" x14ac:dyDescent="0.35">
      <c r="A4" s="11" t="s">
        <v>854</v>
      </c>
      <c r="B4" s="1" t="s">
        <v>77</v>
      </c>
      <c r="D4" s="1"/>
    </row>
    <row r="5" spans="1:6" x14ac:dyDescent="0.35">
      <c r="A5" s="11" t="s">
        <v>855</v>
      </c>
      <c r="B5" s="1" t="s">
        <v>77</v>
      </c>
      <c r="D5" s="1"/>
    </row>
    <row r="6" spans="1:6" x14ac:dyDescent="0.35">
      <c r="A6" s="11" t="s">
        <v>856</v>
      </c>
      <c r="B6" s="1" t="s">
        <v>77</v>
      </c>
      <c r="D6" s="1"/>
    </row>
    <row r="7" spans="1:6" x14ac:dyDescent="0.35">
      <c r="A7" s="11" t="s">
        <v>857</v>
      </c>
      <c r="B7" s="1" t="s">
        <v>858</v>
      </c>
      <c r="D7" s="1" t="s">
        <v>42</v>
      </c>
    </row>
    <row r="8" spans="1:6" x14ac:dyDescent="0.35">
      <c r="A8" s="11" t="s">
        <v>859</v>
      </c>
      <c r="B8" s="1" t="s">
        <v>860</v>
      </c>
      <c r="D8" s="1" t="s">
        <v>42</v>
      </c>
    </row>
    <row r="9" spans="1:6" x14ac:dyDescent="0.35">
      <c r="A9" s="8" t="s">
        <v>861</v>
      </c>
      <c r="B9" s="1" t="s">
        <v>862</v>
      </c>
      <c r="D9" s="1" t="s">
        <v>42</v>
      </c>
    </row>
    <row r="10" spans="1:6" x14ac:dyDescent="0.35">
      <c r="A10" s="8" t="s">
        <v>863</v>
      </c>
      <c r="B10" s="1" t="s">
        <v>77</v>
      </c>
      <c r="D10" s="1"/>
    </row>
    <row r="11" spans="1:6" x14ac:dyDescent="0.35">
      <c r="A11" s="8" t="s">
        <v>864</v>
      </c>
      <c r="B11" s="1" t="s">
        <v>77</v>
      </c>
      <c r="D11" s="1"/>
    </row>
    <row r="12" spans="1:6" x14ac:dyDescent="0.35">
      <c r="A12" s="8" t="s">
        <v>865</v>
      </c>
      <c r="B12" s="1" t="s">
        <v>77</v>
      </c>
      <c r="D12" s="1"/>
    </row>
    <row r="13" spans="1:6" x14ac:dyDescent="0.35">
      <c r="A13" s="8" t="s">
        <v>866</v>
      </c>
      <c r="B13" s="1" t="s">
        <v>77</v>
      </c>
      <c r="D13" s="1"/>
    </row>
    <row r="14" spans="1:6" x14ac:dyDescent="0.35">
      <c r="A14" s="8" t="s">
        <v>867</v>
      </c>
      <c r="B14" s="1" t="s">
        <v>77</v>
      </c>
      <c r="D14" s="1"/>
    </row>
    <row r="15" spans="1:6" x14ac:dyDescent="0.35">
      <c r="A15" s="8" t="s">
        <v>868</v>
      </c>
      <c r="B15" s="1" t="s">
        <v>77</v>
      </c>
      <c r="D15" s="1"/>
    </row>
    <row r="16" spans="1:6" x14ac:dyDescent="0.35">
      <c r="A16" s="12" t="s">
        <v>869</v>
      </c>
      <c r="B16" s="5" t="s">
        <v>158</v>
      </c>
      <c r="D16" s="1"/>
    </row>
    <row r="17" spans="1:4" x14ac:dyDescent="0.35">
      <c r="A17" s="12" t="s">
        <v>94</v>
      </c>
      <c r="B17" s="5" t="s">
        <v>158</v>
      </c>
      <c r="D17" s="1"/>
    </row>
  </sheetData>
  <pageMargins left="0.7" right="0.7" top="0.75" bottom="0.75" header="0.3" footer="0.3"/>
  <headerFooter>
    <oddFooter>&amp;L_x000D_&amp;1#&amp;"Aptos"&amp;10&amp;K000000 DS SMITH-BUSINESS USE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810C-6FEF-4ED6-AF9B-A4EFE1C1B6A5}">
  <sheetPr>
    <tabColor rgb="FF00B050"/>
  </sheetPr>
  <dimension ref="A1:F20"/>
  <sheetViews>
    <sheetView workbookViewId="0">
      <selection activeCell="D3" sqref="D3:D20"/>
    </sheetView>
  </sheetViews>
  <sheetFormatPr defaultColWidth="8.7265625" defaultRowHeight="14.5" x14ac:dyDescent="0.35"/>
  <cols>
    <col min="1" max="1" width="50.54296875" customWidth="1"/>
    <col min="2" max="2" width="21" bestFit="1" customWidth="1"/>
  </cols>
  <sheetData>
    <row r="1" spans="1:6" ht="15" thickBot="1" x14ac:dyDescent="0.4">
      <c r="B1" s="19">
        <f>COUNTA(B4:B20)</f>
        <v>16</v>
      </c>
      <c r="C1" s="20"/>
      <c r="D1" s="20">
        <f>COUNTA(D4:D20)</f>
        <v>13</v>
      </c>
      <c r="E1" s="20"/>
      <c r="F1" s="21">
        <f>D1/B1</f>
        <v>0.8125</v>
      </c>
    </row>
    <row r="2" spans="1:6" x14ac:dyDescent="0.35">
      <c r="F2" s="14"/>
    </row>
    <row r="3" spans="1:6" x14ac:dyDescent="0.35">
      <c r="A3" s="38" t="s">
        <v>37</v>
      </c>
      <c r="B3" s="39" t="s">
        <v>38</v>
      </c>
      <c r="D3" s="39" t="s">
        <v>39</v>
      </c>
    </row>
    <row r="4" spans="1:6" x14ac:dyDescent="0.35">
      <c r="A4" s="11" t="s">
        <v>870</v>
      </c>
      <c r="B4" s="1" t="s">
        <v>871</v>
      </c>
      <c r="D4" s="1" t="s">
        <v>42</v>
      </c>
    </row>
    <row r="5" spans="1:6" x14ac:dyDescent="0.35">
      <c r="A5" s="8" t="s">
        <v>872</v>
      </c>
      <c r="B5" s="1" t="s">
        <v>873</v>
      </c>
      <c r="D5" s="1" t="s">
        <v>42</v>
      </c>
    </row>
    <row r="6" spans="1:6" x14ac:dyDescent="0.35">
      <c r="A6" s="8" t="s">
        <v>874</v>
      </c>
      <c r="B6" s="1" t="s">
        <v>875</v>
      </c>
      <c r="D6" s="1" t="s">
        <v>42</v>
      </c>
    </row>
    <row r="7" spans="1:6" x14ac:dyDescent="0.35">
      <c r="A7" s="8" t="s">
        <v>876</v>
      </c>
      <c r="B7" s="1" t="s">
        <v>877</v>
      </c>
      <c r="D7" s="1" t="s">
        <v>42</v>
      </c>
    </row>
    <row r="8" spans="1:6" x14ac:dyDescent="0.35">
      <c r="A8" s="8" t="s">
        <v>878</v>
      </c>
      <c r="B8" s="1" t="s">
        <v>879</v>
      </c>
      <c r="D8" s="1" t="s">
        <v>42</v>
      </c>
    </row>
    <row r="9" spans="1:6" x14ac:dyDescent="0.35">
      <c r="A9" s="8" t="s">
        <v>880</v>
      </c>
      <c r="B9" s="1" t="s">
        <v>881</v>
      </c>
      <c r="D9" s="1" t="s">
        <v>42</v>
      </c>
    </row>
    <row r="10" spans="1:6" x14ac:dyDescent="0.35">
      <c r="A10" s="8" t="s">
        <v>882</v>
      </c>
      <c r="B10" s="1" t="s">
        <v>883</v>
      </c>
      <c r="D10" s="1" t="s">
        <v>42</v>
      </c>
    </row>
    <row r="11" spans="1:6" x14ac:dyDescent="0.35">
      <c r="A11" s="8" t="s">
        <v>884</v>
      </c>
      <c r="B11" s="1" t="s">
        <v>885</v>
      </c>
      <c r="D11" s="1" t="s">
        <v>42</v>
      </c>
    </row>
    <row r="12" spans="1:6" x14ac:dyDescent="0.35">
      <c r="A12" s="8"/>
      <c r="B12" s="1"/>
      <c r="D12" s="1"/>
    </row>
    <row r="13" spans="1:6" x14ac:dyDescent="0.35">
      <c r="A13" s="8" t="s">
        <v>886</v>
      </c>
      <c r="B13" s="1" t="s">
        <v>887</v>
      </c>
      <c r="D13" s="1" t="s">
        <v>42</v>
      </c>
    </row>
    <row r="14" spans="1:6" x14ac:dyDescent="0.35">
      <c r="A14" s="8" t="s">
        <v>888</v>
      </c>
      <c r="B14" s="1" t="s">
        <v>889</v>
      </c>
      <c r="D14" s="1" t="s">
        <v>42</v>
      </c>
    </row>
    <row r="15" spans="1:6" x14ac:dyDescent="0.35">
      <c r="A15" s="8" t="s">
        <v>890</v>
      </c>
      <c r="B15" s="1" t="s">
        <v>891</v>
      </c>
      <c r="D15" s="1" t="s">
        <v>42</v>
      </c>
    </row>
    <row r="16" spans="1:6" x14ac:dyDescent="0.35">
      <c r="A16" s="8" t="s">
        <v>892</v>
      </c>
      <c r="B16" s="1" t="s">
        <v>893</v>
      </c>
      <c r="D16" s="1" t="s">
        <v>42</v>
      </c>
    </row>
    <row r="17" spans="1:4" x14ac:dyDescent="0.35">
      <c r="A17" s="8" t="s">
        <v>894</v>
      </c>
      <c r="B17" s="1" t="s">
        <v>77</v>
      </c>
      <c r="D17" s="1"/>
    </row>
    <row r="18" spans="1:4" x14ac:dyDescent="0.35">
      <c r="A18" s="8" t="s">
        <v>895</v>
      </c>
      <c r="B18" s="1" t="s">
        <v>77</v>
      </c>
      <c r="D18" s="1"/>
    </row>
    <row r="19" spans="1:4" x14ac:dyDescent="0.35">
      <c r="A19" s="8" t="s">
        <v>896</v>
      </c>
      <c r="B19" s="1" t="s">
        <v>77</v>
      </c>
      <c r="D19" s="1"/>
    </row>
    <row r="20" spans="1:4" x14ac:dyDescent="0.35">
      <c r="A20" s="8" t="s">
        <v>897</v>
      </c>
      <c r="B20" s="1" t="s">
        <v>898</v>
      </c>
      <c r="D20" s="1" t="s">
        <v>42</v>
      </c>
    </row>
  </sheetData>
  <pageMargins left="0.7" right="0.7" top="0.75" bottom="0.75" header="0.3" footer="0.3"/>
  <headerFooter>
    <oddFooter>&amp;L_x000D_&amp;1#&amp;"Aptos"&amp;10&amp;K000000 DS SMITH-BUSINESS USE</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F6B8-5C88-4346-8E79-3B2EE83F9629}">
  <dimension ref="A3:D48"/>
  <sheetViews>
    <sheetView workbookViewId="0">
      <selection activeCell="F12" sqref="F12"/>
    </sheetView>
  </sheetViews>
  <sheetFormatPr defaultColWidth="8.7265625" defaultRowHeight="14.5" x14ac:dyDescent="0.35"/>
  <cols>
    <col min="1" max="1" width="50.54296875" customWidth="1"/>
    <col min="2" max="2" width="11.453125" bestFit="1" customWidth="1"/>
  </cols>
  <sheetData>
    <row r="3" spans="1:4" x14ac:dyDescent="0.35">
      <c r="A3" s="38" t="s">
        <v>37</v>
      </c>
      <c r="B3" s="39" t="s">
        <v>38</v>
      </c>
      <c r="D3" s="39" t="s">
        <v>39</v>
      </c>
    </row>
    <row r="4" spans="1:4" x14ac:dyDescent="0.35">
      <c r="A4" s="8"/>
      <c r="B4" s="1"/>
      <c r="D4" s="1"/>
    </row>
    <row r="5" spans="1:4" x14ac:dyDescent="0.35">
      <c r="A5" s="11" t="s">
        <v>899</v>
      </c>
      <c r="B5" s="1" t="s">
        <v>282</v>
      </c>
      <c r="D5" s="5" t="str">
        <f>"--"</f>
        <v>--</v>
      </c>
    </row>
    <row r="6" spans="1:4" x14ac:dyDescent="0.35">
      <c r="A6" s="11" t="s">
        <v>900</v>
      </c>
      <c r="B6" s="1" t="s">
        <v>282</v>
      </c>
      <c r="D6" s="5" t="str">
        <f t="shared" ref="D6:D10" si="0">"--"</f>
        <v>--</v>
      </c>
    </row>
    <row r="7" spans="1:4" x14ac:dyDescent="0.35">
      <c r="A7" s="8" t="s">
        <v>901</v>
      </c>
      <c r="B7" s="1" t="s">
        <v>282</v>
      </c>
      <c r="D7" s="5" t="str">
        <f t="shared" si="0"/>
        <v>--</v>
      </c>
    </row>
    <row r="8" spans="1:4" x14ac:dyDescent="0.35">
      <c r="A8" s="11" t="s">
        <v>902</v>
      </c>
      <c r="B8" s="1" t="s">
        <v>282</v>
      </c>
      <c r="D8" s="5" t="str">
        <f t="shared" si="0"/>
        <v>--</v>
      </c>
    </row>
    <row r="9" spans="1:4" x14ac:dyDescent="0.35">
      <c r="A9" s="11" t="s">
        <v>903</v>
      </c>
      <c r="B9" s="1" t="s">
        <v>282</v>
      </c>
      <c r="D9" s="5" t="str">
        <f t="shared" si="0"/>
        <v>--</v>
      </c>
    </row>
    <row r="10" spans="1:4" x14ac:dyDescent="0.35">
      <c r="A10" s="8" t="s">
        <v>904</v>
      </c>
      <c r="B10" s="1" t="s">
        <v>282</v>
      </c>
      <c r="D10" s="5" t="str">
        <f t="shared" si="0"/>
        <v>--</v>
      </c>
    </row>
    <row r="11" spans="1:4" x14ac:dyDescent="0.35">
      <c r="A11" s="15" t="s">
        <v>905</v>
      </c>
      <c r="B11" s="1"/>
      <c r="D11" s="1"/>
    </row>
    <row r="12" spans="1:4" x14ac:dyDescent="0.35">
      <c r="A12" s="11" t="s">
        <v>906</v>
      </c>
      <c r="B12" s="1" t="s">
        <v>282</v>
      </c>
      <c r="D12" s="5" t="str">
        <f t="shared" ref="D12:D19" si="1">"--"</f>
        <v>--</v>
      </c>
    </row>
    <row r="13" spans="1:4" x14ac:dyDescent="0.35">
      <c r="A13" s="11" t="s">
        <v>907</v>
      </c>
      <c r="B13" s="1" t="s">
        <v>282</v>
      </c>
      <c r="D13" s="5" t="str">
        <f t="shared" si="1"/>
        <v>--</v>
      </c>
    </row>
    <row r="14" spans="1:4" x14ac:dyDescent="0.35">
      <c r="A14" s="11" t="s">
        <v>908</v>
      </c>
      <c r="B14" s="1" t="s">
        <v>282</v>
      </c>
      <c r="D14" s="5" t="str">
        <f t="shared" si="1"/>
        <v>--</v>
      </c>
    </row>
    <row r="15" spans="1:4" x14ac:dyDescent="0.35">
      <c r="A15" s="11" t="s">
        <v>909</v>
      </c>
      <c r="B15" s="1" t="s">
        <v>282</v>
      </c>
      <c r="D15" s="5" t="str">
        <f t="shared" si="1"/>
        <v>--</v>
      </c>
    </row>
    <row r="16" spans="1:4" x14ac:dyDescent="0.35">
      <c r="A16" s="11" t="s">
        <v>910</v>
      </c>
      <c r="B16" s="1" t="s">
        <v>282</v>
      </c>
      <c r="D16" s="5" t="str">
        <f t="shared" si="1"/>
        <v>--</v>
      </c>
    </row>
    <row r="17" spans="1:4" x14ac:dyDescent="0.35">
      <c r="A17" s="11" t="s">
        <v>911</v>
      </c>
      <c r="B17" s="1" t="s">
        <v>282</v>
      </c>
      <c r="D17" s="5" t="str">
        <f t="shared" si="1"/>
        <v>--</v>
      </c>
    </row>
    <row r="18" spans="1:4" x14ac:dyDescent="0.35">
      <c r="A18" s="11" t="s">
        <v>912</v>
      </c>
      <c r="B18" s="1" t="s">
        <v>282</v>
      </c>
      <c r="D18" s="5" t="str">
        <f t="shared" si="1"/>
        <v>--</v>
      </c>
    </row>
    <row r="19" spans="1:4" x14ac:dyDescent="0.35">
      <c r="A19" s="11" t="s">
        <v>913</v>
      </c>
      <c r="B19" s="1" t="s">
        <v>282</v>
      </c>
      <c r="D19" s="5" t="str">
        <f t="shared" si="1"/>
        <v>--</v>
      </c>
    </row>
    <row r="20" spans="1:4" x14ac:dyDescent="0.35">
      <c r="A20" s="15" t="s">
        <v>914</v>
      </c>
      <c r="B20" s="1"/>
      <c r="D20" s="1"/>
    </row>
    <row r="21" spans="1:4" x14ac:dyDescent="0.35">
      <c r="A21" s="8" t="s">
        <v>915</v>
      </c>
      <c r="B21" s="1" t="s">
        <v>282</v>
      </c>
      <c r="D21" s="5" t="str">
        <f t="shared" ref="D21:D36" si="2">"--"</f>
        <v>--</v>
      </c>
    </row>
    <row r="22" spans="1:4" x14ac:dyDescent="0.35">
      <c r="A22" s="8" t="s">
        <v>915</v>
      </c>
      <c r="B22" s="1" t="s">
        <v>282</v>
      </c>
      <c r="D22" s="5" t="str">
        <f t="shared" si="2"/>
        <v>--</v>
      </c>
    </row>
    <row r="23" spans="1:4" x14ac:dyDescent="0.35">
      <c r="A23" s="8" t="s">
        <v>916</v>
      </c>
      <c r="B23" s="1" t="s">
        <v>282</v>
      </c>
      <c r="D23" s="5" t="str">
        <f t="shared" si="2"/>
        <v>--</v>
      </c>
    </row>
    <row r="24" spans="1:4" x14ac:dyDescent="0.35">
      <c r="A24" s="8" t="s">
        <v>916</v>
      </c>
      <c r="B24" s="1" t="s">
        <v>282</v>
      </c>
      <c r="D24" s="5" t="str">
        <f t="shared" si="2"/>
        <v>--</v>
      </c>
    </row>
    <row r="25" spans="1:4" x14ac:dyDescent="0.35">
      <c r="A25" s="8" t="s">
        <v>917</v>
      </c>
      <c r="B25" s="1" t="s">
        <v>282</v>
      </c>
      <c r="D25" s="5" t="str">
        <f t="shared" si="2"/>
        <v>--</v>
      </c>
    </row>
    <row r="26" spans="1:4" x14ac:dyDescent="0.35">
      <c r="A26" s="8" t="s">
        <v>917</v>
      </c>
      <c r="B26" s="1" t="s">
        <v>282</v>
      </c>
      <c r="D26" s="5" t="str">
        <f t="shared" si="2"/>
        <v>--</v>
      </c>
    </row>
    <row r="27" spans="1:4" x14ac:dyDescent="0.35">
      <c r="A27" s="8" t="s">
        <v>918</v>
      </c>
      <c r="B27" s="1" t="s">
        <v>282</v>
      </c>
      <c r="D27" s="5" t="str">
        <f t="shared" si="2"/>
        <v>--</v>
      </c>
    </row>
    <row r="28" spans="1:4" x14ac:dyDescent="0.35">
      <c r="A28" s="8" t="s">
        <v>918</v>
      </c>
      <c r="B28" s="1" t="s">
        <v>282</v>
      </c>
      <c r="D28" s="5" t="str">
        <f t="shared" si="2"/>
        <v>--</v>
      </c>
    </row>
    <row r="29" spans="1:4" x14ac:dyDescent="0.35">
      <c r="A29" s="8" t="s">
        <v>919</v>
      </c>
      <c r="B29" s="1" t="s">
        <v>282</v>
      </c>
      <c r="D29" s="5" t="str">
        <f t="shared" si="2"/>
        <v>--</v>
      </c>
    </row>
    <row r="30" spans="1:4" x14ac:dyDescent="0.35">
      <c r="A30" s="8" t="s">
        <v>919</v>
      </c>
      <c r="B30" s="1" t="s">
        <v>282</v>
      </c>
      <c r="D30" s="5" t="str">
        <f t="shared" si="2"/>
        <v>--</v>
      </c>
    </row>
    <row r="31" spans="1:4" x14ac:dyDescent="0.35">
      <c r="A31" s="8" t="s">
        <v>920</v>
      </c>
      <c r="B31" s="1" t="s">
        <v>282</v>
      </c>
      <c r="D31" s="5" t="str">
        <f t="shared" si="2"/>
        <v>--</v>
      </c>
    </row>
    <row r="32" spans="1:4" x14ac:dyDescent="0.35">
      <c r="A32" s="8" t="s">
        <v>920</v>
      </c>
      <c r="B32" s="1" t="s">
        <v>282</v>
      </c>
      <c r="D32" s="5" t="str">
        <f t="shared" si="2"/>
        <v>--</v>
      </c>
    </row>
    <row r="33" spans="1:4" x14ac:dyDescent="0.35">
      <c r="A33" s="8" t="s">
        <v>921</v>
      </c>
      <c r="B33" s="1" t="s">
        <v>282</v>
      </c>
      <c r="D33" s="5" t="str">
        <f t="shared" si="2"/>
        <v>--</v>
      </c>
    </row>
    <row r="34" spans="1:4" x14ac:dyDescent="0.35">
      <c r="A34" s="8" t="s">
        <v>921</v>
      </c>
      <c r="B34" s="1" t="s">
        <v>282</v>
      </c>
      <c r="D34" s="5" t="str">
        <f t="shared" si="2"/>
        <v>--</v>
      </c>
    </row>
    <row r="35" spans="1:4" x14ac:dyDescent="0.35">
      <c r="A35" s="8" t="s">
        <v>922</v>
      </c>
      <c r="B35" s="1" t="s">
        <v>282</v>
      </c>
      <c r="D35" s="5" t="str">
        <f t="shared" si="2"/>
        <v>--</v>
      </c>
    </row>
    <row r="36" spans="1:4" x14ac:dyDescent="0.35">
      <c r="A36" s="8" t="s">
        <v>922</v>
      </c>
      <c r="B36" s="1" t="s">
        <v>282</v>
      </c>
      <c r="D36" s="5" t="str">
        <f t="shared" si="2"/>
        <v>--</v>
      </c>
    </row>
    <row r="37" spans="1:4" x14ac:dyDescent="0.35">
      <c r="A37" s="15" t="s">
        <v>735</v>
      </c>
      <c r="B37" s="1"/>
      <c r="D37" s="1"/>
    </row>
    <row r="38" spans="1:4" x14ac:dyDescent="0.35">
      <c r="A38" s="11" t="s">
        <v>923</v>
      </c>
      <c r="B38" s="1" t="s">
        <v>282</v>
      </c>
      <c r="D38" s="5" t="str">
        <f t="shared" ref="D38:D47" si="3">"--"</f>
        <v>--</v>
      </c>
    </row>
    <row r="39" spans="1:4" x14ac:dyDescent="0.35">
      <c r="A39" s="11" t="s">
        <v>924</v>
      </c>
      <c r="B39" s="1" t="s">
        <v>282</v>
      </c>
      <c r="D39" s="5" t="str">
        <f t="shared" si="3"/>
        <v>--</v>
      </c>
    </row>
    <row r="40" spans="1:4" x14ac:dyDescent="0.35">
      <c r="A40" s="11" t="s">
        <v>925</v>
      </c>
      <c r="B40" s="1" t="s">
        <v>282</v>
      </c>
      <c r="D40" s="5" t="str">
        <f t="shared" si="3"/>
        <v>--</v>
      </c>
    </row>
    <row r="41" spans="1:4" x14ac:dyDescent="0.35">
      <c r="A41" s="11" t="s">
        <v>926</v>
      </c>
      <c r="B41" s="1" t="s">
        <v>282</v>
      </c>
      <c r="D41" s="5" t="str">
        <f t="shared" si="3"/>
        <v>--</v>
      </c>
    </row>
    <row r="42" spans="1:4" x14ac:dyDescent="0.35">
      <c r="A42" s="11" t="s">
        <v>927</v>
      </c>
      <c r="B42" s="1" t="s">
        <v>282</v>
      </c>
      <c r="D42" s="5" t="str">
        <f t="shared" si="3"/>
        <v>--</v>
      </c>
    </row>
    <row r="43" spans="1:4" x14ac:dyDescent="0.35">
      <c r="A43" s="11" t="s">
        <v>928</v>
      </c>
      <c r="B43" s="1" t="s">
        <v>282</v>
      </c>
      <c r="D43" s="5" t="str">
        <f t="shared" si="3"/>
        <v>--</v>
      </c>
    </row>
    <row r="44" spans="1:4" x14ac:dyDescent="0.35">
      <c r="A44" s="11" t="s">
        <v>929</v>
      </c>
      <c r="B44" s="1" t="s">
        <v>282</v>
      </c>
      <c r="D44" s="5" t="str">
        <f t="shared" si="3"/>
        <v>--</v>
      </c>
    </row>
    <row r="45" spans="1:4" x14ac:dyDescent="0.35">
      <c r="A45" s="11" t="s">
        <v>930</v>
      </c>
      <c r="B45" s="1" t="s">
        <v>282</v>
      </c>
      <c r="D45" s="5" t="str">
        <f t="shared" si="3"/>
        <v>--</v>
      </c>
    </row>
    <row r="46" spans="1:4" x14ac:dyDescent="0.35">
      <c r="A46" s="11" t="s">
        <v>931</v>
      </c>
      <c r="B46" s="1" t="s">
        <v>282</v>
      </c>
      <c r="D46" s="5" t="str">
        <f t="shared" si="3"/>
        <v>--</v>
      </c>
    </row>
    <row r="47" spans="1:4" x14ac:dyDescent="0.35">
      <c r="A47" s="11" t="s">
        <v>932</v>
      </c>
      <c r="B47" s="1" t="s">
        <v>282</v>
      </c>
      <c r="D47" s="5" t="str">
        <f t="shared" si="3"/>
        <v>--</v>
      </c>
    </row>
    <row r="48" spans="1:4" x14ac:dyDescent="0.35">
      <c r="A48" s="11"/>
      <c r="B48" s="1"/>
      <c r="D48" s="1"/>
    </row>
  </sheetData>
  <phoneticPr fontId="2" type="noConversion"/>
  <pageMargins left="0.7" right="0.7" top="0.75" bottom="0.75" header="0.3" footer="0.3"/>
  <headerFooter>
    <oddFooter>&amp;L_x000D_&amp;1#&amp;"Aptos"&amp;10&amp;K000000 DS SMITH-BUSINESS USE</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3E062-BE39-4D69-90A1-A39977EE7837}">
  <dimension ref="A3:D7"/>
  <sheetViews>
    <sheetView workbookViewId="0">
      <selection activeCell="D13" sqref="D13"/>
    </sheetView>
  </sheetViews>
  <sheetFormatPr defaultColWidth="8.7265625" defaultRowHeight="14.5" x14ac:dyDescent="0.35"/>
  <cols>
    <col min="1" max="1" width="50.54296875" customWidth="1"/>
    <col min="2" max="2" width="13.453125" bestFit="1" customWidth="1"/>
  </cols>
  <sheetData>
    <row r="3" spans="1:4" x14ac:dyDescent="0.35">
      <c r="A3" s="38" t="s">
        <v>37</v>
      </c>
      <c r="B3" s="39" t="s">
        <v>38</v>
      </c>
      <c r="D3" s="39" t="s">
        <v>39</v>
      </c>
    </row>
    <row r="4" spans="1:4" x14ac:dyDescent="0.35">
      <c r="A4" s="11" t="s">
        <v>933</v>
      </c>
      <c r="B4" s="1" t="s">
        <v>77</v>
      </c>
      <c r="D4" s="5" t="str">
        <f>"--"</f>
        <v>--</v>
      </c>
    </row>
    <row r="5" spans="1:4" x14ac:dyDescent="0.35">
      <c r="A5" s="8" t="s">
        <v>934</v>
      </c>
      <c r="B5" s="1" t="s">
        <v>77</v>
      </c>
      <c r="D5" s="5" t="str">
        <f>"--"</f>
        <v>--</v>
      </c>
    </row>
    <row r="6" spans="1:4" x14ac:dyDescent="0.35">
      <c r="A6" s="8" t="s">
        <v>935</v>
      </c>
      <c r="B6" s="1" t="s">
        <v>77</v>
      </c>
      <c r="D6" s="5" t="str">
        <f>"--"</f>
        <v>--</v>
      </c>
    </row>
    <row r="7" spans="1:4" x14ac:dyDescent="0.35">
      <c r="A7" s="8" t="s">
        <v>936</v>
      </c>
      <c r="B7" s="1" t="s">
        <v>937</v>
      </c>
      <c r="D7" s="5" t="str">
        <f>"--"</f>
        <v>--</v>
      </c>
    </row>
  </sheetData>
  <pageMargins left="0.7" right="0.7" top="0.75" bottom="0.75" header="0.3" footer="0.3"/>
  <headerFooter>
    <oddFooter>&amp;L_x000D_&amp;1#&amp;"Aptos"&amp;10&amp;K000000 DS SMITH-BUSINESS USE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Summary</vt:lpstr>
      <vt:lpstr>Main KPIs</vt:lpstr>
      <vt:lpstr>Paper Quality</vt:lpstr>
      <vt:lpstr>Stock prep main KPI</vt:lpstr>
      <vt:lpstr>Approach Flow - Thick Stock</vt:lpstr>
      <vt:lpstr>Approach Flow - Thinstock</vt:lpstr>
      <vt:lpstr>Headbox</vt:lpstr>
      <vt:lpstr>Forming section</vt:lpstr>
      <vt:lpstr>Press</vt:lpstr>
      <vt:lpstr>Drying section</vt:lpstr>
      <vt:lpstr>Ventilation - PD</vt:lpstr>
      <vt:lpstr>Ventilation - AD</vt:lpstr>
      <vt:lpstr>Sizer</vt:lpstr>
      <vt:lpstr>Pope Reeler</vt:lpstr>
      <vt:lpstr>Draws and Drives</vt:lpstr>
      <vt:lpstr>Steam consumption</vt:lpstr>
      <vt:lpstr>Steam</vt:lpstr>
      <vt:lpstr>Starch</vt:lpstr>
      <vt:lpstr>Chemicals - ret. aid</vt:lpstr>
      <vt:lpstr>Chemicals - size</vt:lpstr>
      <vt:lpstr>Chemicals - dye</vt:lpstr>
      <vt:lpstr>PM Discfilter</vt:lpstr>
      <vt:lpstr>Vacuum pumps</vt:lpstr>
      <vt:lpstr>Break detectors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Hoskins</dc:creator>
  <cp:keywords/>
  <dc:description/>
  <cp:lastModifiedBy>Miguel Angel Gonzalez</cp:lastModifiedBy>
  <cp:revision/>
  <dcterms:created xsi:type="dcterms:W3CDTF">2024-05-13T12:56:28Z</dcterms:created>
  <dcterms:modified xsi:type="dcterms:W3CDTF">2026-06-11T06:37:42Z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f71943f-3f19-4698-8f6f-9daf6cf4a9d3_Enabled">
    <vt:lpwstr>true</vt:lpwstr>
  </property>
  <property fmtid="{D5CDD505-2E9C-101B-9397-08002B2CF9AE}" pid="5" name="MSIP_Label_2f71943f-3f19-4698-8f6f-9daf6cf4a9d3_SetDate">
    <vt:lpwstr>2026-05-12T11:59:55Z</vt:lpwstr>
  </property>
  <property fmtid="{D5CDD505-2E9C-101B-9397-08002B2CF9AE}" pid="6" name="MSIP_Label_2f71943f-3f19-4698-8f6f-9daf6cf4a9d3_Method">
    <vt:lpwstr>Standard</vt:lpwstr>
  </property>
  <property fmtid="{D5CDD505-2E9C-101B-9397-08002B2CF9AE}" pid="7" name="MSIP_Label_2f71943f-3f19-4698-8f6f-9daf6cf4a9d3_Name">
    <vt:lpwstr>BUSINESS USE</vt:lpwstr>
  </property>
  <property fmtid="{D5CDD505-2E9C-101B-9397-08002B2CF9AE}" pid="8" name="MSIP_Label_2f71943f-3f19-4698-8f6f-9daf6cf4a9d3_SiteId">
    <vt:lpwstr>423430e8-247c-44d1-9767-22723b7d4cb2</vt:lpwstr>
  </property>
  <property fmtid="{D5CDD505-2E9C-101B-9397-08002B2CF9AE}" pid="9" name="MSIP_Label_2f71943f-3f19-4698-8f6f-9daf6cf4a9d3_ActionId">
    <vt:lpwstr>09bf16ef-f37e-411c-af03-26dcdda4301a</vt:lpwstr>
  </property>
  <property fmtid="{D5CDD505-2E9C-101B-9397-08002B2CF9AE}" pid="10" name="MSIP_Label_2f71943f-3f19-4698-8f6f-9daf6cf4a9d3_ContentBits">
    <vt:lpwstr>2</vt:lpwstr>
  </property>
  <property fmtid="{D5CDD505-2E9C-101B-9397-08002B2CF9AE}" pid="11" name="MSIP_Label_2f71943f-3f19-4698-8f6f-9daf6cf4a9d3_Tag">
    <vt:lpwstr>10, 3, 0, 2</vt:lpwstr>
  </property>
</Properties>
</file>