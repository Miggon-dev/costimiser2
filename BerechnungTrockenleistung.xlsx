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s0001414.dss.dssmithgroup.local\users$\dedangoe\Data\Desktop\MySite\DHBW\T3_3300_BA\"/>
    </mc:Choice>
  </mc:AlternateContent>
  <xr:revisionPtr revIDLastSave="0" documentId="13_ncr:1_{B985ECB1-487A-406C-8B56-9D495E088F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2" r:id="rId1"/>
    <sheet name="A - 32,36,38,41 geschlossen" sheetId="3" r:id="rId2"/>
    <sheet name="B - Alle auf" sheetId="5" r:id="rId3"/>
    <sheet name="C - 2.TG Umbau" sheetId="6" r:id="rId4"/>
    <sheet name="ÄV - D1" sheetId="7" r:id="rId5"/>
    <sheet name="Tabelle1" sheetId="1" state="hidden" r:id="rId6"/>
    <sheet name="Sattdampft" sheetId="4" state="hidden" r:id="rId7"/>
  </sheets>
  <definedNames>
    <definedName name="UNI_AA_VERSION" hidden="1">"322.3.0"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7" l="1"/>
  <c r="L9" i="7"/>
  <c r="G9" i="7"/>
  <c r="F9" i="7"/>
  <c r="AI9" i="7"/>
  <c r="AG9" i="7"/>
  <c r="AF9" i="7"/>
  <c r="AE9" i="7"/>
  <c r="AC9" i="7"/>
  <c r="AB8" i="7"/>
  <c r="AB9" i="7" s="1"/>
  <c r="AA8" i="7"/>
  <c r="AA9" i="7" s="1"/>
  <c r="Y8" i="7"/>
  <c r="Y9" i="7" s="1"/>
  <c r="X8" i="7"/>
  <c r="X9" i="7" s="1"/>
  <c r="W8" i="7"/>
  <c r="W9" i="7" s="1"/>
  <c r="AH9" i="7"/>
  <c r="T9" i="7"/>
  <c r="S9" i="7"/>
  <c r="P9" i="7"/>
  <c r="O9" i="7"/>
  <c r="M9" i="7"/>
  <c r="K9" i="7"/>
  <c r="J9" i="7"/>
  <c r="I9" i="7"/>
  <c r="H9" i="7"/>
  <c r="E9" i="7"/>
  <c r="D9" i="7"/>
  <c r="C9" i="7"/>
  <c r="AF7" i="7"/>
  <c r="AB7" i="7"/>
  <c r="X7" i="7"/>
  <c r="T7" i="7"/>
  <c r="P7" i="7"/>
  <c r="L7" i="7"/>
  <c r="H7" i="7"/>
  <c r="D7" i="7"/>
  <c r="AI6" i="7"/>
  <c r="AI7" i="7" s="1"/>
  <c r="AH6" i="7"/>
  <c r="AH7" i="7" s="1"/>
  <c r="AG6" i="7"/>
  <c r="AG7" i="7" s="1"/>
  <c r="AF6" i="7"/>
  <c r="AE6" i="7"/>
  <c r="AE7" i="7" s="1"/>
  <c r="AD6" i="7"/>
  <c r="AD7" i="7" s="1"/>
  <c r="AC6" i="7"/>
  <c r="AC7" i="7" s="1"/>
  <c r="AB6" i="7"/>
  <c r="AA6" i="7"/>
  <c r="AA7" i="7" s="1"/>
  <c r="Z6" i="7"/>
  <c r="Z7" i="7" s="1"/>
  <c r="Y6" i="7"/>
  <c r="Y7" i="7" s="1"/>
  <c r="X6" i="7"/>
  <c r="W6" i="7"/>
  <c r="W7" i="7" s="1"/>
  <c r="V6" i="7"/>
  <c r="V7" i="7" s="1"/>
  <c r="U6" i="7"/>
  <c r="U7" i="7" s="1"/>
  <c r="T6" i="7"/>
  <c r="S6" i="7"/>
  <c r="S7" i="7" s="1"/>
  <c r="R6" i="7"/>
  <c r="R7" i="7" s="1"/>
  <c r="Q6" i="7"/>
  <c r="Q7" i="7" s="1"/>
  <c r="P6" i="7"/>
  <c r="O6" i="7"/>
  <c r="O7" i="7" s="1"/>
  <c r="N6" i="7"/>
  <c r="N7" i="7" s="1"/>
  <c r="M6" i="7"/>
  <c r="M7" i="7" s="1"/>
  <c r="L6" i="7"/>
  <c r="K6" i="7"/>
  <c r="K7" i="7" s="1"/>
  <c r="J6" i="7"/>
  <c r="J7" i="7" s="1"/>
  <c r="I6" i="7"/>
  <c r="I7" i="7" s="1"/>
  <c r="H6" i="7"/>
  <c r="G6" i="7"/>
  <c r="G7" i="7" s="1"/>
  <c r="F6" i="7"/>
  <c r="F7" i="7" s="1"/>
  <c r="E6" i="7"/>
  <c r="E7" i="7" s="1"/>
  <c r="D6" i="7"/>
  <c r="C6" i="7"/>
  <c r="C7" i="7" s="1"/>
  <c r="AJ3" i="7"/>
  <c r="O4" i="2"/>
  <c r="O22" i="2" s="1"/>
  <c r="O5" i="2"/>
  <c r="O6" i="2"/>
  <c r="O7" i="2"/>
  <c r="I7" i="2"/>
  <c r="I6" i="2"/>
  <c r="I5" i="2"/>
  <c r="I4" i="2"/>
  <c r="I22" i="2" s="1"/>
  <c r="C12" i="2"/>
  <c r="O12" i="2" s="1"/>
  <c r="C10" i="2"/>
  <c r="M8" i="6" s="1"/>
  <c r="Q8" i="6" s="1"/>
  <c r="Q9" i="6" s="1"/>
  <c r="L9" i="5"/>
  <c r="K7" i="5"/>
  <c r="G7" i="5"/>
  <c r="C7" i="5"/>
  <c r="L6" i="5"/>
  <c r="L7" i="5" s="1"/>
  <c r="K6" i="5"/>
  <c r="J6" i="5"/>
  <c r="J7" i="5" s="1"/>
  <c r="I6" i="5"/>
  <c r="I7" i="5" s="1"/>
  <c r="H6" i="5"/>
  <c r="H7" i="5" s="1"/>
  <c r="G6" i="5"/>
  <c r="F6" i="5"/>
  <c r="F7" i="5" s="1"/>
  <c r="E6" i="5"/>
  <c r="E7" i="5" s="1"/>
  <c r="D6" i="5"/>
  <c r="D7" i="5" s="1"/>
  <c r="C6" i="5"/>
  <c r="L9" i="6"/>
  <c r="S8" i="6"/>
  <c r="AE8" i="6" s="1"/>
  <c r="AE9" i="6" s="1"/>
  <c r="AF6" i="6"/>
  <c r="AF7" i="6" s="1"/>
  <c r="AE6" i="6"/>
  <c r="AE7" i="6" s="1"/>
  <c r="AD6" i="6"/>
  <c r="AD7" i="6" s="1"/>
  <c r="AC6" i="6"/>
  <c r="AC7" i="6" s="1"/>
  <c r="AB6" i="6"/>
  <c r="AB7" i="6" s="1"/>
  <c r="AA6" i="6"/>
  <c r="AA7" i="6" s="1"/>
  <c r="Z6" i="6"/>
  <c r="Z7" i="6" s="1"/>
  <c r="Y6" i="6"/>
  <c r="Y7" i="6" s="1"/>
  <c r="X6" i="6"/>
  <c r="X7" i="6" s="1"/>
  <c r="W6" i="6"/>
  <c r="W7" i="6" s="1"/>
  <c r="V6" i="6"/>
  <c r="V7" i="6" s="1"/>
  <c r="U6" i="6"/>
  <c r="U7" i="6" s="1"/>
  <c r="T6" i="6"/>
  <c r="T7" i="6" s="1"/>
  <c r="S6" i="6"/>
  <c r="S7" i="6" s="1"/>
  <c r="R6" i="6"/>
  <c r="R7" i="6" s="1"/>
  <c r="Q6" i="6"/>
  <c r="Q7" i="6" s="1"/>
  <c r="P6" i="6"/>
  <c r="P7" i="6" s="1"/>
  <c r="O6" i="6"/>
  <c r="O7" i="6" s="1"/>
  <c r="N6" i="6"/>
  <c r="N7" i="6" s="1"/>
  <c r="M6" i="6"/>
  <c r="M7" i="6" s="1"/>
  <c r="L6" i="6"/>
  <c r="L7" i="6" s="1"/>
  <c r="K6" i="6"/>
  <c r="K7" i="6" s="1"/>
  <c r="J6" i="6"/>
  <c r="J7" i="6" s="1"/>
  <c r="I6" i="6"/>
  <c r="I7" i="6" s="1"/>
  <c r="H6" i="6"/>
  <c r="H7" i="6" s="1"/>
  <c r="G6" i="6"/>
  <c r="G7" i="6" s="1"/>
  <c r="F6" i="6"/>
  <c r="F7" i="6" s="1"/>
  <c r="E6" i="6"/>
  <c r="E7" i="6" s="1"/>
  <c r="D6" i="6"/>
  <c r="D7" i="6" s="1"/>
  <c r="C6" i="6"/>
  <c r="C7" i="6" s="1"/>
  <c r="AG3" i="6"/>
  <c r="AK5" i="3"/>
  <c r="V8" i="5"/>
  <c r="V9" i="5" s="1"/>
  <c r="AI6" i="5"/>
  <c r="AI7" i="5" s="1"/>
  <c r="AH6" i="5"/>
  <c r="AH7" i="5" s="1"/>
  <c r="AG6" i="5"/>
  <c r="AG7" i="5" s="1"/>
  <c r="AF6" i="5"/>
  <c r="AF7" i="5" s="1"/>
  <c r="AE6" i="5"/>
  <c r="AE7" i="5" s="1"/>
  <c r="AD6" i="5"/>
  <c r="AD7" i="5" s="1"/>
  <c r="AC6" i="5"/>
  <c r="AC7" i="5" s="1"/>
  <c r="AB6" i="5"/>
  <c r="AB7" i="5" s="1"/>
  <c r="AA6" i="5"/>
  <c r="AA7" i="5" s="1"/>
  <c r="Z6" i="5"/>
  <c r="Z7" i="5" s="1"/>
  <c r="Y6" i="5"/>
  <c r="Y7" i="5" s="1"/>
  <c r="X6" i="5"/>
  <c r="X7" i="5" s="1"/>
  <c r="W6" i="5"/>
  <c r="W7" i="5" s="1"/>
  <c r="V6" i="5"/>
  <c r="V7" i="5" s="1"/>
  <c r="U6" i="5"/>
  <c r="U7" i="5" s="1"/>
  <c r="T6" i="5"/>
  <c r="T7" i="5" s="1"/>
  <c r="S6" i="5"/>
  <c r="S7" i="5" s="1"/>
  <c r="R6" i="5"/>
  <c r="R7" i="5" s="1"/>
  <c r="Q6" i="5"/>
  <c r="Q7" i="5" s="1"/>
  <c r="P6" i="5"/>
  <c r="P7" i="5" s="1"/>
  <c r="O6" i="5"/>
  <c r="O7" i="5" s="1"/>
  <c r="N6" i="5"/>
  <c r="N7" i="5" s="1"/>
  <c r="M6" i="5"/>
  <c r="M7" i="5" s="1"/>
  <c r="AJ3" i="5"/>
  <c r="D10" i="7" l="1" a="1"/>
  <c r="D10" i="7" s="1"/>
  <c r="I11" i="7"/>
  <c r="I13" i="7" s="1"/>
  <c r="I14" i="7" s="1"/>
  <c r="Y10" i="7" a="1"/>
  <c r="Y10" i="7" s="1"/>
  <c r="Y11" i="7" s="1"/>
  <c r="Y13" i="7" s="1"/>
  <c r="Y14" i="7" s="1"/>
  <c r="AB10" i="7" a="1"/>
  <c r="AB10" i="7" s="1"/>
  <c r="AG10" i="7" a="1"/>
  <c r="AG10" i="7" s="1"/>
  <c r="D11" i="7"/>
  <c r="D13" i="7" s="1"/>
  <c r="J11" i="7"/>
  <c r="J13" i="7" s="1"/>
  <c r="J14" i="7" s="1"/>
  <c r="AB11" i="7"/>
  <c r="AB13" i="7" s="1"/>
  <c r="AB14" i="7" s="1"/>
  <c r="AG11" i="7"/>
  <c r="AG13" i="7" s="1"/>
  <c r="AG14" i="7" s="1"/>
  <c r="O11" i="7"/>
  <c r="O13" i="7" s="1"/>
  <c r="O14" i="7" s="1"/>
  <c r="W10" i="7" a="1"/>
  <c r="W10" i="7" s="1"/>
  <c r="W11" i="7" s="1"/>
  <c r="W13" i="7" s="1"/>
  <c r="W14" i="7" s="1"/>
  <c r="Z10" i="7" a="1"/>
  <c r="Z10" i="7" s="1"/>
  <c r="AE10" i="7" a="1"/>
  <c r="AE10" i="7" s="1"/>
  <c r="AE11" i="7" s="1"/>
  <c r="AE13" i="7" s="1"/>
  <c r="AE14" i="7" s="1"/>
  <c r="AH10" i="7" a="1"/>
  <c r="AH10" i="7" s="1"/>
  <c r="AH11" i="7" s="1"/>
  <c r="AH13" i="7" s="1"/>
  <c r="AH14" i="7" s="1"/>
  <c r="H11" i="7"/>
  <c r="H13" i="7" s="1"/>
  <c r="H14" i="7" s="1"/>
  <c r="P11" i="7"/>
  <c r="P13" i="7" s="1"/>
  <c r="P14" i="7" s="1"/>
  <c r="X10" i="7" a="1"/>
  <c r="X10" i="7" s="1"/>
  <c r="X11" i="7" s="1"/>
  <c r="X13" i="7" s="1"/>
  <c r="X14" i="7" s="1"/>
  <c r="AC10" i="7" a="1"/>
  <c r="AC10" i="7" s="1"/>
  <c r="AF10" i="7" a="1"/>
  <c r="AF10" i="7" s="1"/>
  <c r="AF11" i="7" s="1"/>
  <c r="AF13" i="7" s="1"/>
  <c r="AF14" i="7" s="1"/>
  <c r="T11" i="7"/>
  <c r="T13" i="7" s="1"/>
  <c r="T14" i="7" s="1"/>
  <c r="F11" i="7"/>
  <c r="F13" i="7" s="1"/>
  <c r="F14" i="7" s="1"/>
  <c r="C10" i="7" a="1"/>
  <c r="C10" i="7" s="1"/>
  <c r="C11" i="7" s="1"/>
  <c r="C13" i="7" s="1"/>
  <c r="C14" i="7" s="1"/>
  <c r="K11" i="7"/>
  <c r="K13" i="7" s="1"/>
  <c r="K14" i="7" s="1"/>
  <c r="S11" i="7"/>
  <c r="S13" i="7" s="1"/>
  <c r="S14" i="7" s="1"/>
  <c r="V11" i="7"/>
  <c r="V13" i="7" s="1"/>
  <c r="V14" i="7" s="1"/>
  <c r="AA10" i="7" a="1"/>
  <c r="AA10" i="7" s="1"/>
  <c r="AA11" i="7" s="1"/>
  <c r="AA13" i="7" s="1"/>
  <c r="AA14" i="7" s="1"/>
  <c r="AD10" i="7" a="1"/>
  <c r="AD10" i="7" s="1"/>
  <c r="AI11" i="7"/>
  <c r="AI13" i="7" s="1"/>
  <c r="AI14" i="7" s="1"/>
  <c r="L11" i="7"/>
  <c r="L13" i="7" s="1"/>
  <c r="G11" i="7"/>
  <c r="G13" i="7" s="1"/>
  <c r="G14" i="7" s="1"/>
  <c r="AC11" i="7"/>
  <c r="AC13" i="7" s="1"/>
  <c r="AC14" i="7" s="1"/>
  <c r="D14" i="7"/>
  <c r="L14" i="7"/>
  <c r="AJ7" i="7"/>
  <c r="E11" i="7"/>
  <c r="E13" i="7" s="1"/>
  <c r="E14" i="7" s="1"/>
  <c r="M11" i="7"/>
  <c r="M13" i="7" s="1"/>
  <c r="M14" i="7" s="1"/>
  <c r="Q9" i="7"/>
  <c r="Q11" i="7" s="1"/>
  <c r="Q13" i="7" s="1"/>
  <c r="Q14" i="7" s="1"/>
  <c r="U9" i="7"/>
  <c r="U11" i="7" s="1"/>
  <c r="U13" i="7" s="1"/>
  <c r="U14" i="7" s="1"/>
  <c r="N9" i="7"/>
  <c r="N11" i="7" s="1"/>
  <c r="N13" i="7" s="1"/>
  <c r="N14" i="7" s="1"/>
  <c r="R9" i="7"/>
  <c r="Z8" i="7"/>
  <c r="Z9" i="7" s="1"/>
  <c r="AD9" i="7"/>
  <c r="M8" i="5"/>
  <c r="S8" i="5" s="1"/>
  <c r="S9" i="5" s="1"/>
  <c r="C9" i="2"/>
  <c r="I8" i="5" s="1"/>
  <c r="K8" i="5" s="1"/>
  <c r="K9" i="5" s="1"/>
  <c r="C8" i="6" a="1"/>
  <c r="C8" i="6" s="1"/>
  <c r="C9" i="6" s="1"/>
  <c r="P10" i="5" a="1"/>
  <c r="P10" i="5" s="1"/>
  <c r="P11" i="5" s="1"/>
  <c r="P13" i="5" s="1"/>
  <c r="P14" i="5" s="1"/>
  <c r="AF10" i="5" a="1"/>
  <c r="AF10" i="5" s="1"/>
  <c r="H10" i="6" a="1"/>
  <c r="H10" i="6" s="1"/>
  <c r="C8" i="5" a="1"/>
  <c r="C8" i="5" s="1"/>
  <c r="C9" i="5" s="1"/>
  <c r="T10" i="5" a="1"/>
  <c r="T10" i="5" s="1"/>
  <c r="R10" i="6" a="1"/>
  <c r="R10" i="6" s="1"/>
  <c r="X10" i="5" a="1"/>
  <c r="X10" i="5" s="1"/>
  <c r="AC10" i="6" a="1"/>
  <c r="AC10" i="6" s="1"/>
  <c r="AB10" i="5" a="1"/>
  <c r="AB10" i="5" s="1"/>
  <c r="C10" i="6" a="1"/>
  <c r="C10" i="6" s="1"/>
  <c r="X10" i="6" a="1"/>
  <c r="X10" i="6" s="1"/>
  <c r="M10" i="6" a="1"/>
  <c r="M10" i="6" s="1"/>
  <c r="F10" i="5" a="1"/>
  <c r="F10" i="5" s="1"/>
  <c r="S10" i="5" a="1"/>
  <c r="S10" i="5" s="1"/>
  <c r="S11" i="5" s="1"/>
  <c r="S13" i="5" s="1"/>
  <c r="S14" i="5" s="1"/>
  <c r="W10" i="5" a="1"/>
  <c r="W10" i="5" s="1"/>
  <c r="AA10" i="5" a="1"/>
  <c r="AA10" i="5" s="1"/>
  <c r="AE10" i="5" a="1"/>
  <c r="AE10" i="5" s="1"/>
  <c r="AI10" i="5" a="1"/>
  <c r="AI10" i="5" s="1"/>
  <c r="F10" i="6" a="1"/>
  <c r="F10" i="6" s="1"/>
  <c r="L10" i="6" a="1"/>
  <c r="L10" i="6" s="1"/>
  <c r="L11" i="6" s="1"/>
  <c r="L13" i="6" s="1"/>
  <c r="L14" i="6" s="1"/>
  <c r="Q10" i="6" a="1"/>
  <c r="Q10" i="6" s="1"/>
  <c r="Q11" i="6" s="1"/>
  <c r="Q13" i="6" s="1"/>
  <c r="Q14" i="6" s="1"/>
  <c r="V10" i="6" a="1"/>
  <c r="V10" i="6" s="1"/>
  <c r="AB10" i="6" a="1"/>
  <c r="AB10" i="6" s="1"/>
  <c r="D10" i="5" a="1"/>
  <c r="D10" i="5" s="1"/>
  <c r="J10" i="5" a="1"/>
  <c r="J10" i="5" s="1"/>
  <c r="K10" i="5" a="1"/>
  <c r="K10" i="5" s="1"/>
  <c r="Y10" i="5" a="1"/>
  <c r="Y10" i="5" s="1"/>
  <c r="N10" i="6" a="1"/>
  <c r="N10" i="6" s="1"/>
  <c r="L10" i="5" a="1"/>
  <c r="L10" i="5" s="1"/>
  <c r="L11" i="5" s="1"/>
  <c r="L13" i="5" s="1"/>
  <c r="L14" i="5" s="1"/>
  <c r="Q10" i="5" a="1"/>
  <c r="Q10" i="5" s="1"/>
  <c r="U10" i="5" a="1"/>
  <c r="U10" i="5" s="1"/>
  <c r="AC10" i="5" a="1"/>
  <c r="AC10" i="5" s="1"/>
  <c r="AG10" i="5" a="1"/>
  <c r="AG10" i="5" s="1"/>
  <c r="D8" i="6" a="1"/>
  <c r="D8" i="6" s="1"/>
  <c r="D9" i="6" s="1"/>
  <c r="D10" i="6" a="1"/>
  <c r="D10" i="6" s="1"/>
  <c r="I10" i="6" a="1"/>
  <c r="I10" i="6" s="1"/>
  <c r="T10" i="6" a="1"/>
  <c r="T10" i="6" s="1"/>
  <c r="Y10" i="6" a="1"/>
  <c r="Y10" i="6" s="1"/>
  <c r="AD10" i="6" a="1"/>
  <c r="AD10" i="6" s="1"/>
  <c r="E8" i="5" a="1"/>
  <c r="E8" i="5" s="1"/>
  <c r="E9" i="5" s="1"/>
  <c r="G10" i="5" a="1"/>
  <c r="G10" i="5" s="1"/>
  <c r="R10" i="5" a="1"/>
  <c r="R10" i="5" s="1"/>
  <c r="V10" i="5" a="1"/>
  <c r="V10" i="5" s="1"/>
  <c r="V11" i="5" s="1"/>
  <c r="V13" i="5" s="1"/>
  <c r="V14" i="5" s="1"/>
  <c r="Z10" i="5" a="1"/>
  <c r="Z10" i="5" s="1"/>
  <c r="AD10" i="5" a="1"/>
  <c r="AD10" i="5" s="1"/>
  <c r="AH10" i="5" a="1"/>
  <c r="AH10" i="5" s="1"/>
  <c r="E8" i="6" a="1"/>
  <c r="E8" i="6" s="1"/>
  <c r="E9" i="6" s="1"/>
  <c r="E10" i="6" a="1"/>
  <c r="E10" i="6" s="1"/>
  <c r="J10" i="6" a="1"/>
  <c r="J10" i="6" s="1"/>
  <c r="P10" i="6" a="1"/>
  <c r="P10" i="6" s="1"/>
  <c r="U10" i="6" a="1"/>
  <c r="U10" i="6" s="1"/>
  <c r="Z10" i="6" a="1"/>
  <c r="Z10" i="6" s="1"/>
  <c r="AF10" i="6" a="1"/>
  <c r="AF10" i="6" s="1"/>
  <c r="F8" i="5" a="1"/>
  <c r="F8" i="5" s="1"/>
  <c r="F9" i="5" s="1"/>
  <c r="C10" i="5" a="1"/>
  <c r="C10" i="5" s="1"/>
  <c r="H10" i="5" a="1"/>
  <c r="H10" i="5" s="1"/>
  <c r="N10" i="5" a="1"/>
  <c r="N10" i="5" s="1"/>
  <c r="O10" i="5" a="1"/>
  <c r="O10" i="5" s="1"/>
  <c r="G10" i="6" a="1"/>
  <c r="G10" i="6" s="1"/>
  <c r="K10" i="6" a="1"/>
  <c r="K10" i="6" s="1"/>
  <c r="O10" i="6" a="1"/>
  <c r="O10" i="6" s="1"/>
  <c r="S10" i="6" a="1"/>
  <c r="S10" i="6" s="1"/>
  <c r="W10" i="6" a="1"/>
  <c r="W10" i="6" s="1"/>
  <c r="AA10" i="6" a="1"/>
  <c r="AA10" i="6" s="1"/>
  <c r="AE10" i="6" a="1"/>
  <c r="AE10" i="6" s="1"/>
  <c r="AE11" i="6" s="1"/>
  <c r="AE13" i="6" s="1"/>
  <c r="AE14" i="6" s="1"/>
  <c r="D8" i="5" a="1"/>
  <c r="D8" i="5" s="1"/>
  <c r="D9" i="5" s="1"/>
  <c r="E10" i="5" a="1"/>
  <c r="E10" i="5" s="1"/>
  <c r="I10" i="5" a="1"/>
  <c r="I10" i="5" s="1"/>
  <c r="M10" i="5" a="1"/>
  <c r="M10" i="5" s="1"/>
  <c r="I12" i="2"/>
  <c r="AF8" i="5"/>
  <c r="AF9" i="5" s="1"/>
  <c r="X8" i="5"/>
  <c r="X9" i="5" s="1"/>
  <c r="T8" i="5"/>
  <c r="T9" i="5" s="1"/>
  <c r="P8" i="5"/>
  <c r="P9" i="5" s="1"/>
  <c r="AB8" i="5"/>
  <c r="AB9" i="5" s="1"/>
  <c r="N8" i="6"/>
  <c r="N9" i="6" s="1"/>
  <c r="V8" i="6"/>
  <c r="V9" i="6" s="1"/>
  <c r="S9" i="6"/>
  <c r="O8" i="6"/>
  <c r="O9" i="6" s="1"/>
  <c r="AB8" i="6"/>
  <c r="AB9" i="6" s="1"/>
  <c r="R8" i="6"/>
  <c r="R9" i="6" s="1"/>
  <c r="AC8" i="6"/>
  <c r="AC9" i="6" s="1"/>
  <c r="T8" i="6"/>
  <c r="T9" i="6" s="1"/>
  <c r="Y8" i="6"/>
  <c r="Y9" i="6" s="1"/>
  <c r="AD8" i="6"/>
  <c r="AD9" i="6" s="1"/>
  <c r="X8" i="6"/>
  <c r="X9" i="6" s="1"/>
  <c r="U8" i="6"/>
  <c r="U9" i="6" s="1"/>
  <c r="Z8" i="6"/>
  <c r="Z9" i="6" s="1"/>
  <c r="AF8" i="6"/>
  <c r="AF9" i="6" s="1"/>
  <c r="AG7" i="6"/>
  <c r="M9" i="6"/>
  <c r="P8" i="6"/>
  <c r="P9" i="6" s="1"/>
  <c r="W8" i="6"/>
  <c r="W9" i="6" s="1"/>
  <c r="AA8" i="6"/>
  <c r="AA9" i="6" s="1"/>
  <c r="AJ7" i="5"/>
  <c r="Q8" i="5"/>
  <c r="Q9" i="5" s="1"/>
  <c r="U8" i="5"/>
  <c r="U9" i="5" s="1"/>
  <c r="Y8" i="5"/>
  <c r="Y9" i="5" s="1"/>
  <c r="AC8" i="5"/>
  <c r="AC9" i="5" s="1"/>
  <c r="AG8" i="5"/>
  <c r="AG9" i="5" s="1"/>
  <c r="Z8" i="5"/>
  <c r="Z9" i="5" s="1"/>
  <c r="AD8" i="5"/>
  <c r="AD9" i="5" s="1"/>
  <c r="AH8" i="5"/>
  <c r="AH9" i="5" s="1"/>
  <c r="O8" i="5"/>
  <c r="O9" i="5" s="1"/>
  <c r="W8" i="5"/>
  <c r="W9" i="5" s="1"/>
  <c r="AA8" i="5"/>
  <c r="AA9" i="5" s="1"/>
  <c r="AE8" i="5"/>
  <c r="AE9" i="5" s="1"/>
  <c r="AI8" i="5"/>
  <c r="AI9" i="5" s="1"/>
  <c r="D10" i="3" a="1"/>
  <c r="D10" i="3" s="1"/>
  <c r="E10" i="3" a="1"/>
  <c r="E10" i="3" s="1"/>
  <c r="F10" i="3" a="1"/>
  <c r="F10" i="3" s="1"/>
  <c r="G10" i="3" a="1"/>
  <c r="G10" i="3" s="1"/>
  <c r="H10" i="3" a="1"/>
  <c r="H10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Y10" i="3" a="1"/>
  <c r="Y10" i="3" s="1"/>
  <c r="Z10" i="3" a="1"/>
  <c r="Z10" i="3" s="1"/>
  <c r="AA10" i="3" a="1"/>
  <c r="AA10" i="3" s="1"/>
  <c r="AB10" i="3" a="1"/>
  <c r="AB10" i="3" s="1"/>
  <c r="AC10" i="3" a="1"/>
  <c r="AC10" i="3" s="1"/>
  <c r="AD10" i="3" a="1"/>
  <c r="AD10" i="3" s="1"/>
  <c r="AE10" i="3" a="1"/>
  <c r="AE10" i="3" s="1"/>
  <c r="AF10" i="3" a="1"/>
  <c r="AF10" i="3" s="1"/>
  <c r="AG10" i="3" a="1"/>
  <c r="AG10" i="3" s="1"/>
  <c r="AH10" i="3" a="1"/>
  <c r="AH10" i="3" s="1"/>
  <c r="AI10" i="3" a="1"/>
  <c r="AI10" i="3" s="1"/>
  <c r="C10" i="3" a="1"/>
  <c r="C10" i="3" s="1"/>
  <c r="E8" i="3" a="1"/>
  <c r="E8" i="3" s="1"/>
  <c r="E9" i="3" s="1"/>
  <c r="D8" i="3" a="1"/>
  <c r="D8" i="3" s="1"/>
  <c r="D9" i="3" s="1"/>
  <c r="C8" i="3" a="1"/>
  <c r="C8" i="3" s="1"/>
  <c r="C9" i="3" s="1"/>
  <c r="V8" i="3"/>
  <c r="V9" i="3" s="1"/>
  <c r="M8" i="3"/>
  <c r="T8" i="3" s="1"/>
  <c r="T9" i="3" s="1"/>
  <c r="I8" i="3"/>
  <c r="I9" i="3" s="1"/>
  <c r="AJ3" i="3"/>
  <c r="T6" i="3"/>
  <c r="T7" i="3" s="1"/>
  <c r="G10" i="1"/>
  <c r="L9" i="3"/>
  <c r="F22" i="4"/>
  <c r="G14" i="1"/>
  <c r="F6" i="3"/>
  <c r="F7" i="3" s="1"/>
  <c r="G6" i="3"/>
  <c r="H6" i="3"/>
  <c r="H7" i="3" s="1"/>
  <c r="I6" i="3"/>
  <c r="I7" i="3" s="1"/>
  <c r="J6" i="3"/>
  <c r="K6" i="3"/>
  <c r="K7" i="3" s="1"/>
  <c r="L6" i="3"/>
  <c r="L7" i="3" s="1"/>
  <c r="M6" i="3"/>
  <c r="M7" i="3" s="1"/>
  <c r="N6" i="3"/>
  <c r="N7" i="3" s="1"/>
  <c r="O6" i="3"/>
  <c r="O7" i="3" s="1"/>
  <c r="P6" i="3"/>
  <c r="P7" i="3" s="1"/>
  <c r="Q6" i="3"/>
  <c r="Q7" i="3" s="1"/>
  <c r="R6" i="3"/>
  <c r="R7" i="3" s="1"/>
  <c r="S6" i="3"/>
  <c r="S7" i="3" s="1"/>
  <c r="U6" i="3"/>
  <c r="U7" i="3" s="1"/>
  <c r="V6" i="3"/>
  <c r="V7" i="3" s="1"/>
  <c r="W6" i="3"/>
  <c r="W7" i="3" s="1"/>
  <c r="X6" i="3"/>
  <c r="X7" i="3" s="1"/>
  <c r="Y6" i="3"/>
  <c r="Y7" i="3" s="1"/>
  <c r="Z6" i="3"/>
  <c r="Z7" i="3" s="1"/>
  <c r="AA6" i="3"/>
  <c r="AA7" i="3" s="1"/>
  <c r="AB6" i="3"/>
  <c r="AC6" i="3"/>
  <c r="AC7" i="3" s="1"/>
  <c r="AD6" i="3"/>
  <c r="AD7" i="3" s="1"/>
  <c r="AE6" i="3"/>
  <c r="AE7" i="3" s="1"/>
  <c r="AF6" i="3"/>
  <c r="AF7" i="3" s="1"/>
  <c r="AG6" i="3"/>
  <c r="AG7" i="3" s="1"/>
  <c r="AH6" i="3"/>
  <c r="AH7" i="3" s="1"/>
  <c r="AI6" i="3"/>
  <c r="AI7" i="3" s="1"/>
  <c r="D6" i="3"/>
  <c r="D7" i="3" s="1"/>
  <c r="E6" i="3"/>
  <c r="E7" i="3" s="1"/>
  <c r="C6" i="3"/>
  <c r="C7" i="3" s="1"/>
  <c r="J7" i="3"/>
  <c r="AB7" i="3"/>
  <c r="G7" i="3"/>
  <c r="C22" i="2"/>
  <c r="C18" i="2"/>
  <c r="C20" i="2" s="1"/>
  <c r="F11" i="2" s="1"/>
  <c r="C21" i="2"/>
  <c r="G16" i="1"/>
  <c r="G15" i="1"/>
  <c r="G12" i="1"/>
  <c r="G13" i="1"/>
  <c r="G11" i="1"/>
  <c r="M10" i="1"/>
  <c r="A3" i="1"/>
  <c r="A2" i="1"/>
  <c r="E3" i="1"/>
  <c r="D3" i="1"/>
  <c r="C3" i="1"/>
  <c r="B3" i="1"/>
  <c r="AD11" i="7" l="1"/>
  <c r="AD13" i="7" s="1"/>
  <c r="AD14" i="7" s="1"/>
  <c r="Z11" i="7"/>
  <c r="Z13" i="7" s="1"/>
  <c r="Z14" i="7" s="1"/>
  <c r="R11" i="7"/>
  <c r="R13" i="7" s="1"/>
  <c r="R14" i="7" s="1"/>
  <c r="AJ14" i="7"/>
  <c r="AC11" i="5"/>
  <c r="AC13" i="5" s="1"/>
  <c r="AC14" i="5" s="1"/>
  <c r="M11" i="6"/>
  <c r="M13" i="6" s="1"/>
  <c r="M14" i="6" s="1"/>
  <c r="C11" i="5"/>
  <c r="C13" i="5" s="1"/>
  <c r="C14" i="5" s="1"/>
  <c r="N11" i="6"/>
  <c r="N13" i="6" s="1"/>
  <c r="N14" i="6" s="1"/>
  <c r="AA11" i="5"/>
  <c r="AA13" i="5" s="1"/>
  <c r="AA14" i="5" s="1"/>
  <c r="AC11" i="6"/>
  <c r="AC13" i="6" s="1"/>
  <c r="AC14" i="6" s="1"/>
  <c r="AB11" i="5"/>
  <c r="AB13" i="5" s="1"/>
  <c r="AB14" i="5" s="1"/>
  <c r="E11" i="5"/>
  <c r="E13" i="5" s="1"/>
  <c r="E14" i="5" s="1"/>
  <c r="R8" i="5"/>
  <c r="R9" i="5" s="1"/>
  <c r="M9" i="5"/>
  <c r="M11" i="5" s="1"/>
  <c r="M13" i="5" s="1"/>
  <c r="M14" i="5" s="1"/>
  <c r="N8" i="5"/>
  <c r="N9" i="5" s="1"/>
  <c r="I9" i="5"/>
  <c r="I11" i="5" s="1"/>
  <c r="I13" i="5" s="1"/>
  <c r="I14" i="5" s="1"/>
  <c r="J8" i="5"/>
  <c r="J9" i="5" s="1"/>
  <c r="J11" i="5" s="1"/>
  <c r="J13" i="5" s="1"/>
  <c r="J14" i="5" s="1"/>
  <c r="K11" i="5"/>
  <c r="K13" i="5" s="1"/>
  <c r="K14" i="5" s="1"/>
  <c r="I8" i="6"/>
  <c r="C8" i="2"/>
  <c r="H8" i="6" s="1"/>
  <c r="H9" i="6" s="1"/>
  <c r="H11" i="6" s="1"/>
  <c r="H13" i="6" s="1"/>
  <c r="H14" i="6" s="1"/>
  <c r="D11" i="5"/>
  <c r="D13" i="5" s="1"/>
  <c r="D14" i="5" s="1"/>
  <c r="Z11" i="6"/>
  <c r="Z13" i="6" s="1"/>
  <c r="Z14" i="6" s="1"/>
  <c r="AA11" i="6"/>
  <c r="AA13" i="6" s="1"/>
  <c r="AA14" i="6" s="1"/>
  <c r="AF11" i="5"/>
  <c r="AF13" i="5" s="1"/>
  <c r="AF14" i="5" s="1"/>
  <c r="AD11" i="5"/>
  <c r="AD13" i="5" s="1"/>
  <c r="AD14" i="5" s="1"/>
  <c r="F11" i="5"/>
  <c r="F13" i="5" s="1"/>
  <c r="F14" i="5" s="1"/>
  <c r="Y11" i="5"/>
  <c r="Y13" i="5" s="1"/>
  <c r="Y14" i="5" s="1"/>
  <c r="N11" i="5"/>
  <c r="N13" i="5" s="1"/>
  <c r="N14" i="5" s="1"/>
  <c r="E11" i="6"/>
  <c r="E13" i="6" s="1"/>
  <c r="E14" i="6" s="1"/>
  <c r="X11" i="5"/>
  <c r="X13" i="5" s="1"/>
  <c r="X14" i="5" s="1"/>
  <c r="AB11" i="6"/>
  <c r="AB13" i="6" s="1"/>
  <c r="AB14" i="6" s="1"/>
  <c r="W11" i="5"/>
  <c r="W13" i="5" s="1"/>
  <c r="W14" i="5" s="1"/>
  <c r="D11" i="6"/>
  <c r="D13" i="6" s="1"/>
  <c r="D14" i="6" s="1"/>
  <c r="AI11" i="5"/>
  <c r="AI13" i="5" s="1"/>
  <c r="AI14" i="5" s="1"/>
  <c r="Q11" i="5"/>
  <c r="Q13" i="5" s="1"/>
  <c r="Q14" i="5" s="1"/>
  <c r="X11" i="6"/>
  <c r="X13" i="6" s="1"/>
  <c r="X14" i="6" s="1"/>
  <c r="AD11" i="6"/>
  <c r="AD13" i="6" s="1"/>
  <c r="AD14" i="6" s="1"/>
  <c r="AE11" i="5"/>
  <c r="AE13" i="5" s="1"/>
  <c r="AE14" i="5" s="1"/>
  <c r="AH11" i="5"/>
  <c r="AH13" i="5" s="1"/>
  <c r="AH14" i="5" s="1"/>
  <c r="P11" i="6"/>
  <c r="P13" i="6" s="1"/>
  <c r="P14" i="6" s="1"/>
  <c r="Y11" i="6"/>
  <c r="Y13" i="6" s="1"/>
  <c r="Y14" i="6" s="1"/>
  <c r="R11" i="6"/>
  <c r="R13" i="6" s="1"/>
  <c r="R14" i="6" s="1"/>
  <c r="S11" i="6"/>
  <c r="S13" i="6" s="1"/>
  <c r="S14" i="6" s="1"/>
  <c r="R11" i="5"/>
  <c r="R13" i="5" s="1"/>
  <c r="R14" i="5" s="1"/>
  <c r="T11" i="5"/>
  <c r="T13" i="5" s="1"/>
  <c r="T14" i="5" s="1"/>
  <c r="C11" i="6"/>
  <c r="C13" i="6" s="1"/>
  <c r="C14" i="6" s="1"/>
  <c r="Z11" i="5"/>
  <c r="Z13" i="5" s="1"/>
  <c r="Z14" i="5" s="1"/>
  <c r="U11" i="5"/>
  <c r="U13" i="5" s="1"/>
  <c r="U14" i="5" s="1"/>
  <c r="W11" i="6"/>
  <c r="W13" i="6" s="1"/>
  <c r="W14" i="6" s="1"/>
  <c r="U11" i="6"/>
  <c r="U13" i="6" s="1"/>
  <c r="U14" i="6" s="1"/>
  <c r="V11" i="6"/>
  <c r="V13" i="6" s="1"/>
  <c r="V14" i="6" s="1"/>
  <c r="T11" i="6"/>
  <c r="T13" i="6" s="1"/>
  <c r="T14" i="6" s="1"/>
  <c r="O11" i="5"/>
  <c r="O13" i="5" s="1"/>
  <c r="O14" i="5" s="1"/>
  <c r="AG11" i="5"/>
  <c r="AG13" i="5" s="1"/>
  <c r="AG14" i="5" s="1"/>
  <c r="AF11" i="6"/>
  <c r="AF13" i="6" s="1"/>
  <c r="AF14" i="6" s="1"/>
  <c r="O11" i="6"/>
  <c r="O13" i="6" s="1"/>
  <c r="O14" i="6" s="1"/>
  <c r="AB8" i="3"/>
  <c r="AB9" i="3" s="1"/>
  <c r="AB11" i="3" s="1"/>
  <c r="AB13" i="3" s="1"/>
  <c r="AB14" i="3" s="1"/>
  <c r="Y8" i="3"/>
  <c r="Y9" i="3" s="1"/>
  <c r="Y11" i="3" s="1"/>
  <c r="Y13" i="3" s="1"/>
  <c r="Y14" i="3" s="1"/>
  <c r="F8" i="3" a="1"/>
  <c r="F8" i="3" s="1"/>
  <c r="F9" i="3" s="1"/>
  <c r="F11" i="3" s="1"/>
  <c r="F13" i="3" s="1"/>
  <c r="F14" i="3" s="1"/>
  <c r="F8" i="6" a="1"/>
  <c r="F8" i="6" s="1"/>
  <c r="F9" i="6" s="1"/>
  <c r="F11" i="6" s="1"/>
  <c r="F13" i="6" s="1"/>
  <c r="F14" i="6" s="1"/>
  <c r="Z8" i="3"/>
  <c r="Z9" i="3" s="1"/>
  <c r="Z11" i="3" s="1"/>
  <c r="Z13" i="3" s="1"/>
  <c r="Z14" i="3" s="1"/>
  <c r="J8" i="3"/>
  <c r="J9" i="3" s="1"/>
  <c r="J11" i="3" s="1"/>
  <c r="J13" i="3" s="1"/>
  <c r="J14" i="3" s="1"/>
  <c r="K8" i="3"/>
  <c r="K9" i="3" s="1"/>
  <c r="K11" i="3" s="1"/>
  <c r="K13" i="3" s="1"/>
  <c r="K14" i="3" s="1"/>
  <c r="N8" i="3"/>
  <c r="N9" i="3" s="1"/>
  <c r="N11" i="3" s="1"/>
  <c r="N13" i="3" s="1"/>
  <c r="N14" i="3" s="1"/>
  <c r="R8" i="3"/>
  <c r="R9" i="3" s="1"/>
  <c r="R11" i="3" s="1"/>
  <c r="R13" i="3" s="1"/>
  <c r="R14" i="3" s="1"/>
  <c r="M9" i="3"/>
  <c r="M11" i="3" s="1"/>
  <c r="M13" i="3" s="1"/>
  <c r="M14" i="3" s="1"/>
  <c r="AE8" i="3"/>
  <c r="AE9" i="3" s="1"/>
  <c r="AE11" i="3" s="1"/>
  <c r="AE13" i="3" s="1"/>
  <c r="AE14" i="3" s="1"/>
  <c r="AF8" i="3"/>
  <c r="AF9" i="3" s="1"/>
  <c r="AF11" i="3" s="1"/>
  <c r="AF13" i="3" s="1"/>
  <c r="AF14" i="3" s="1"/>
  <c r="AI8" i="3"/>
  <c r="AI9" i="3" s="1"/>
  <c r="AI11" i="3" s="1"/>
  <c r="AI13" i="3" s="1"/>
  <c r="AI14" i="3" s="1"/>
  <c r="O8" i="3"/>
  <c r="O9" i="3" s="1"/>
  <c r="O11" i="3" s="1"/>
  <c r="O13" i="3" s="1"/>
  <c r="O14" i="3" s="1"/>
  <c r="S8" i="3"/>
  <c r="S9" i="3" s="1"/>
  <c r="S11" i="3" s="1"/>
  <c r="S13" i="3" s="1"/>
  <c r="S14" i="3" s="1"/>
  <c r="U8" i="3"/>
  <c r="U9" i="3" s="1"/>
  <c r="U11" i="3" s="1"/>
  <c r="U13" i="3" s="1"/>
  <c r="U14" i="3" s="1"/>
  <c r="P8" i="3"/>
  <c r="P9" i="3" s="1"/>
  <c r="P11" i="3" s="1"/>
  <c r="P13" i="3" s="1"/>
  <c r="P14" i="3" s="1"/>
  <c r="Q8" i="3"/>
  <c r="Q9" i="3" s="1"/>
  <c r="Q11" i="3" s="1"/>
  <c r="Q13" i="3" s="1"/>
  <c r="Q14" i="3" s="1"/>
  <c r="X8" i="3"/>
  <c r="X9" i="3" s="1"/>
  <c r="X11" i="3" s="1"/>
  <c r="X13" i="3" s="1"/>
  <c r="X14" i="3" s="1"/>
  <c r="AC8" i="3"/>
  <c r="AC9" i="3" s="1"/>
  <c r="AC11" i="3" s="1"/>
  <c r="AC13" i="3" s="1"/>
  <c r="AC14" i="3" s="1"/>
  <c r="AG8" i="3"/>
  <c r="AG9" i="3" s="1"/>
  <c r="AG11" i="3" s="1"/>
  <c r="AG13" i="3" s="1"/>
  <c r="AG14" i="3" s="1"/>
  <c r="W8" i="3"/>
  <c r="W9" i="3" s="1"/>
  <c r="W11" i="3" s="1"/>
  <c r="W13" i="3" s="1"/>
  <c r="W14" i="3" s="1"/>
  <c r="AA8" i="3"/>
  <c r="AA9" i="3" s="1"/>
  <c r="AA11" i="3" s="1"/>
  <c r="AA13" i="3" s="1"/>
  <c r="AA14" i="3" s="1"/>
  <c r="AD8" i="3"/>
  <c r="AD9" i="3" s="1"/>
  <c r="AD11" i="3" s="1"/>
  <c r="AD13" i="3" s="1"/>
  <c r="AD14" i="3" s="1"/>
  <c r="AH8" i="3"/>
  <c r="AH9" i="3" s="1"/>
  <c r="AH11" i="3" s="1"/>
  <c r="AH13" i="3" s="1"/>
  <c r="AH14" i="3" s="1"/>
  <c r="C11" i="3"/>
  <c r="I11" i="3"/>
  <c r="I13" i="3" s="1"/>
  <c r="I14" i="3" s="1"/>
  <c r="L11" i="3"/>
  <c r="L13" i="3" s="1"/>
  <c r="L14" i="3" s="1"/>
  <c r="E11" i="3"/>
  <c r="E13" i="3" s="1"/>
  <c r="E14" i="3" s="1"/>
  <c r="T11" i="3"/>
  <c r="T13" i="3" s="1"/>
  <c r="T14" i="3" s="1"/>
  <c r="V11" i="3"/>
  <c r="V13" i="3" s="1"/>
  <c r="V14" i="3" s="1"/>
  <c r="D11" i="3"/>
  <c r="D13" i="3" s="1"/>
  <c r="D14" i="3" s="1"/>
  <c r="C19" i="2"/>
  <c r="C28" i="2" s="1"/>
  <c r="C29" i="2" s="1"/>
  <c r="C24" i="2"/>
  <c r="C25" i="2" s="1"/>
  <c r="C26" i="2" s="1"/>
  <c r="AJ7" i="3"/>
  <c r="G8" i="5" l="1"/>
  <c r="G9" i="5" s="1"/>
  <c r="G11" i="5" s="1"/>
  <c r="G13" i="5" s="1"/>
  <c r="G14" i="5" s="1"/>
  <c r="H8" i="5"/>
  <c r="H9" i="5" s="1"/>
  <c r="H11" i="5" s="1"/>
  <c r="H13" i="5" s="1"/>
  <c r="H14" i="5" s="1"/>
  <c r="H8" i="3"/>
  <c r="H9" i="3" s="1"/>
  <c r="H11" i="3" s="1"/>
  <c r="H13" i="3" s="1"/>
  <c r="H14" i="3" s="1"/>
  <c r="G8" i="3"/>
  <c r="G8" i="6"/>
  <c r="G9" i="6" s="1"/>
  <c r="G11" i="6" s="1"/>
  <c r="G13" i="6" s="1"/>
  <c r="G14" i="6" s="1"/>
  <c r="I9" i="6"/>
  <c r="I11" i="6" s="1"/>
  <c r="I13" i="6" s="1"/>
  <c r="I14" i="6" s="1"/>
  <c r="K8" i="6"/>
  <c r="K9" i="6" s="1"/>
  <c r="K11" i="6" s="1"/>
  <c r="K13" i="6" s="1"/>
  <c r="K14" i="6" s="1"/>
  <c r="J8" i="6"/>
  <c r="J9" i="6" s="1"/>
  <c r="J11" i="6" s="1"/>
  <c r="J13" i="6" s="1"/>
  <c r="J14" i="6" s="1"/>
  <c r="C13" i="3"/>
  <c r="C14" i="3" s="1"/>
  <c r="C30" i="2"/>
  <c r="F12" i="2"/>
  <c r="AJ14" i="5" l="1"/>
  <c r="L4" i="2" s="1"/>
  <c r="AG14" i="6"/>
  <c r="R4" i="2" s="1"/>
  <c r="F16" i="3"/>
  <c r="G9" i="3"/>
  <c r="G11" i="3" s="1"/>
  <c r="G13" i="3" s="1"/>
  <c r="G14" i="3" s="1"/>
  <c r="AJ14" i="3" s="1"/>
  <c r="F4" i="2" s="1"/>
  <c r="O3" i="2" s="1"/>
  <c r="R6" i="2" s="1"/>
  <c r="F3" i="2"/>
  <c r="F5" i="2" l="1"/>
  <c r="I3" i="2"/>
  <c r="L6" i="2" s="1"/>
  <c r="F10" i="2"/>
  <c r="R9" i="2"/>
  <c r="O18" i="2"/>
  <c r="O21" i="2"/>
  <c r="F9" i="2" l="1"/>
  <c r="R10" i="2"/>
  <c r="L10" i="2"/>
  <c r="I18" i="2"/>
  <c r="I24" i="2" s="1"/>
  <c r="I25" i="2" s="1"/>
  <c r="I26" i="2" s="1"/>
  <c r="L9" i="2"/>
  <c r="I21" i="2"/>
  <c r="O19" i="2"/>
  <c r="O28" i="2" s="1"/>
  <c r="O29" i="2" s="1"/>
  <c r="O24" i="2"/>
  <c r="O25" i="2" s="1"/>
  <c r="O26" i="2" s="1"/>
  <c r="O20" i="2"/>
  <c r="R11" i="2" s="1"/>
  <c r="I20" i="2" l="1"/>
  <c r="L11" i="2" s="1"/>
  <c r="I19" i="2"/>
  <c r="I28" i="2" s="1"/>
  <c r="I29" i="2" s="1"/>
  <c r="I30" i="2" s="1"/>
  <c r="L3" i="2" s="1"/>
  <c r="L5" i="2" s="1"/>
  <c r="R12" i="2"/>
  <c r="O30" i="2"/>
  <c r="R3" i="2" s="1"/>
  <c r="R5" i="2" s="1"/>
  <c r="L1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<sst xmlns="http://schemas.openxmlformats.org/spreadsheetml/2006/main" count="349" uniqueCount="98">
  <si>
    <t>hc</t>
  </si>
  <si>
    <t>hd</t>
  </si>
  <si>
    <t>hat</t>
  </si>
  <si>
    <t>hs</t>
  </si>
  <si>
    <t>u</t>
  </si>
  <si>
    <t>q=(tk-tp)*k</t>
  </si>
  <si>
    <t>tk</t>
  </si>
  <si>
    <t>tp</t>
  </si>
  <si>
    <t>k=u</t>
  </si>
  <si>
    <t>W/m²</t>
  </si>
  <si>
    <t>kW/m²</t>
  </si>
  <si>
    <t>Papiertemp</t>
  </si>
  <si>
    <t>Tempsattdampf</t>
  </si>
  <si>
    <t>°C</t>
  </si>
  <si>
    <t>Fläche</t>
  </si>
  <si>
    <t>m²</t>
  </si>
  <si>
    <t>kW</t>
  </si>
  <si>
    <t>MW</t>
  </si>
  <si>
    <t>MJ/s</t>
  </si>
  <si>
    <t>Wärmekapazität</t>
  </si>
  <si>
    <t>J/(g*k)</t>
  </si>
  <si>
    <t>g*k/s/m²</t>
  </si>
  <si>
    <t>Grammatur</t>
  </si>
  <si>
    <t>g/m²</t>
  </si>
  <si>
    <t>k/s</t>
  </si>
  <si>
    <t>Vorgabe Produktion</t>
  </si>
  <si>
    <t>t/h</t>
  </si>
  <si>
    <t>Eingabe</t>
  </si>
  <si>
    <t>Berechnung</t>
  </si>
  <si>
    <t>Prod/d</t>
  </si>
  <si>
    <t>t/d</t>
  </si>
  <si>
    <t>Prod/h</t>
  </si>
  <si>
    <t>kg/h</t>
  </si>
  <si>
    <t>%</t>
  </si>
  <si>
    <t>TG</t>
  </si>
  <si>
    <t>Prod/h atro</t>
  </si>
  <si>
    <t>Einlauf TG</t>
  </si>
  <si>
    <t>Verd. H2O</t>
  </si>
  <si>
    <t>Flg</t>
  </si>
  <si>
    <t>Fix</t>
  </si>
  <si>
    <t>Bahnbreit</t>
  </si>
  <si>
    <t>t</t>
  </si>
  <si>
    <t>m</t>
  </si>
  <si>
    <t xml:space="preserve">s min h  </t>
  </si>
  <si>
    <t>Prod ohne</t>
  </si>
  <si>
    <t>m/min</t>
  </si>
  <si>
    <t>Stärkeauftrag</t>
  </si>
  <si>
    <t>VTP</t>
  </si>
  <si>
    <t>v Prod</t>
  </si>
  <si>
    <t>Zylinder</t>
  </si>
  <si>
    <t>Durchmesser</t>
  </si>
  <si>
    <t>Umschlingung</t>
  </si>
  <si>
    <t>Mantel</t>
  </si>
  <si>
    <t>Mantel mit Um</t>
  </si>
  <si>
    <t>Einheit</t>
  </si>
  <si>
    <t>Verdampfungsw'rme</t>
  </si>
  <si>
    <t>kJ/kg</t>
  </si>
  <si>
    <t>kJ/h</t>
  </si>
  <si>
    <t>W/(m²*k)</t>
  </si>
  <si>
    <t>Benötigte q</t>
  </si>
  <si>
    <t>Druck</t>
  </si>
  <si>
    <t>Temp</t>
  </si>
  <si>
    <t>bar(ü)</t>
  </si>
  <si>
    <t>Sattdampf Temp</t>
  </si>
  <si>
    <t>Papier Temperatur</t>
  </si>
  <si>
    <t>D T</t>
  </si>
  <si>
    <t>q</t>
  </si>
  <si>
    <t>W/m²*K</t>
  </si>
  <si>
    <t>q Benötigt</t>
  </si>
  <si>
    <t>q Verfügbar</t>
  </si>
  <si>
    <t>q Diff</t>
  </si>
  <si>
    <t>Energieübertragung</t>
  </si>
  <si>
    <t>-</t>
  </si>
  <si>
    <t>von Eingabe</t>
  </si>
  <si>
    <t>Gesamt</t>
  </si>
  <si>
    <t>v PM</t>
  </si>
  <si>
    <t>Verdampft. H2O</t>
  </si>
  <si>
    <t>Druck 2.HG</t>
  </si>
  <si>
    <t>Druck 3.HG</t>
  </si>
  <si>
    <t>Druck 4. HG</t>
  </si>
  <si>
    <t>Druck 5. HG</t>
  </si>
  <si>
    <t>Schocktrocknung</t>
  </si>
  <si>
    <t>y/n</t>
  </si>
  <si>
    <t>bar</t>
  </si>
  <si>
    <t>n</t>
  </si>
  <si>
    <t>y</t>
  </si>
  <si>
    <t>Feuchte SS</t>
  </si>
  <si>
    <t>Eingabe Alle auf</t>
  </si>
  <si>
    <t>Eingabe 2.TG Umbau</t>
  </si>
  <si>
    <t xml:space="preserve">Schocktrocknung </t>
  </si>
  <si>
    <t>ProdDiff zu C</t>
  </si>
  <si>
    <t>ProdDiff zu B</t>
  </si>
  <si>
    <t>ProdDiff zu A</t>
  </si>
  <si>
    <t>Produktion</t>
  </si>
  <si>
    <r>
      <t xml:space="preserve">A - </t>
    </r>
    <r>
      <rPr>
        <sz val="15"/>
        <color theme="1"/>
        <rFont val="Calibri"/>
        <family val="2"/>
        <scheme val="minor"/>
      </rPr>
      <t>Ausgabe VTP</t>
    </r>
  </si>
  <si>
    <r>
      <t xml:space="preserve">B - </t>
    </r>
    <r>
      <rPr>
        <sz val="15"/>
        <color theme="1"/>
        <rFont val="Calibri"/>
        <family val="2"/>
        <scheme val="minor"/>
      </rPr>
      <t>Ausgabe VTP</t>
    </r>
  </si>
  <si>
    <r>
      <rPr>
        <b/>
        <sz val="15"/>
        <color theme="1"/>
        <rFont val="Calibri"/>
        <family val="2"/>
        <scheme val="minor"/>
      </rPr>
      <t xml:space="preserve">C - </t>
    </r>
    <r>
      <rPr>
        <sz val="15"/>
        <color theme="1"/>
        <rFont val="Calibri"/>
        <family val="2"/>
        <scheme val="minor"/>
      </rPr>
      <t>Ausgabe VTP</t>
    </r>
  </si>
  <si>
    <t>0 = Aus / 1 = 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</si>
</sst>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3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21"/>
      <color theme="9" tint="0.59999389629810485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164" fontId="0" fillId="2" borderId="2" xfId="0" applyNumberFormat="1" applyFill="1" applyBorder="1"/>
    <xf numFmtId="2" fontId="0" fillId="0" borderId="0" xfId="0" applyNumberFormat="1"/>
    <xf numFmtId="2" fontId="0" fillId="0" borderId="1" xfId="0" applyNumberFormat="1" applyBorder="1"/>
    <xf numFmtId="2" fontId="0" fillId="4" borderId="0" xfId="0" applyNumberFormat="1" applyFill="1"/>
    <xf numFmtId="2" fontId="0" fillId="3" borderId="0" xfId="0" applyNumberFormat="1" applyFill="1"/>
    <xf numFmtId="2" fontId="0" fillId="3" borderId="1" xfId="0" applyNumberFormat="1" applyFill="1" applyBorder="1"/>
    <xf numFmtId="2" fontId="0" fillId="0" borderId="3" xfId="0" applyNumberFormat="1" applyBorder="1"/>
    <xf numFmtId="2" fontId="0" fillId="0" borderId="5" xfId="0" applyNumberFormat="1" applyBorder="1"/>
    <xf numFmtId="1" fontId="0" fillId="0" borderId="1" xfId="0" applyNumberFormat="1" applyBorder="1"/>
    <xf numFmtId="1" fontId="0" fillId="4" borderId="1" xfId="0" applyNumberFormat="1" applyFill="1" applyBorder="1"/>
    <xf numFmtId="1" fontId="0" fillId="0" borderId="4" xfId="0" applyNumberFormat="1" applyBorder="1"/>
    <xf numFmtId="2" fontId="0" fillId="7" borderId="0" xfId="0" applyNumberFormat="1" applyFill="1"/>
    <xf numFmtId="1" fontId="0" fillId="7" borderId="0" xfId="0" applyNumberFormat="1" applyFill="1"/>
    <xf numFmtId="1" fontId="0" fillId="2" borderId="0" xfId="0" applyNumberFormat="1" applyFill="1"/>
    <xf numFmtId="1" fontId="2" fillId="6" borderId="0" xfId="0" applyNumberFormat="1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" fontId="0" fillId="9" borderId="10" xfId="0" applyNumberForma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2" fontId="10" fillId="4" borderId="15" xfId="0" applyNumberFormat="1" applyFont="1" applyFill="1" applyBorder="1" applyAlignment="1">
      <alignment horizontal="center" vertical="center"/>
    </xf>
    <xf numFmtId="1" fontId="2" fillId="6" borderId="16" xfId="0" applyNumberFormat="1" applyFont="1" applyFill="1" applyBorder="1" applyAlignment="1">
      <alignment horizontal="center" vertical="center"/>
    </xf>
    <xf numFmtId="1" fontId="2" fillId="6" borderId="18" xfId="0" applyNumberFormat="1" applyFont="1" applyFill="1" applyBorder="1" applyAlignment="1">
      <alignment horizontal="center" vertical="center"/>
    </xf>
    <xf numFmtId="2" fontId="2" fillId="6" borderId="17" xfId="0" applyNumberFormat="1" applyFont="1" applyFill="1" applyBorder="1" applyAlignment="1">
      <alignment horizontal="center" vertical="center"/>
    </xf>
    <xf numFmtId="2" fontId="10" fillId="2" borderId="15" xfId="0" applyNumberFormat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" fontId="4" fillId="6" borderId="16" xfId="0" applyNumberFormat="1" applyFont="1" applyFill="1" applyBorder="1" applyAlignment="1">
      <alignment horizontal="center" vertical="center"/>
    </xf>
    <xf numFmtId="2" fontId="4" fillId="6" borderId="0" xfId="0" applyNumberFormat="1" applyFont="1" applyFill="1" applyAlignment="1">
      <alignment horizontal="center" vertical="center"/>
    </xf>
    <xf numFmtId="2" fontId="14" fillId="10" borderId="16" xfId="0" applyNumberFormat="1" applyFont="1" applyFill="1" applyBorder="1" applyAlignment="1">
      <alignment horizontal="center" vertical="center"/>
    </xf>
    <xf numFmtId="2" fontId="14" fillId="2" borderId="16" xfId="0" applyNumberFormat="1" applyFont="1" applyFill="1" applyBorder="1" applyAlignment="1">
      <alignment horizontal="center" vertical="center"/>
    </xf>
    <xf numFmtId="2" fontId="14" fillId="4" borderId="16" xfId="0" applyNumberFormat="1" applyFont="1" applyFill="1" applyBorder="1" applyAlignment="1">
      <alignment horizontal="center" vertical="center"/>
    </xf>
    <xf numFmtId="2" fontId="14" fillId="10" borderId="17" xfId="0" applyNumberFormat="1" applyFont="1" applyFill="1" applyBorder="1" applyAlignment="1">
      <alignment horizontal="center" vertical="center"/>
    </xf>
    <xf numFmtId="2" fontId="14" fillId="2" borderId="17" xfId="0" applyNumberFormat="1" applyFont="1" applyFill="1" applyBorder="1" applyAlignment="1">
      <alignment horizontal="center" vertical="center"/>
    </xf>
    <xf numFmtId="2" fontId="14" fillId="4" borderId="17" xfId="0" applyNumberFormat="1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2" fontId="8" fillId="9" borderId="0" xfId="0" applyNumberFormat="1" applyFont="1" applyFill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8" fillId="9" borderId="24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1" fontId="13" fillId="9" borderId="23" xfId="0" applyNumberFormat="1" applyFont="1" applyFill="1" applyBorder="1" applyAlignment="1">
      <alignment horizontal="center" vertical="center"/>
    </xf>
    <xf numFmtId="1" fontId="13" fillId="9" borderId="25" xfId="0" applyNumberFormat="1" applyFont="1" applyFill="1" applyBorder="1" applyAlignment="1">
      <alignment horizontal="center" vertical="center"/>
    </xf>
    <xf numFmtId="1" fontId="8" fillId="9" borderId="23" xfId="0" applyNumberFormat="1" applyFont="1" applyFill="1" applyBorder="1" applyAlignment="1">
      <alignment horizontal="center" vertical="center"/>
    </xf>
    <xf numFmtId="0" fontId="8" fillId="9" borderId="28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1" fontId="7" fillId="9" borderId="28" xfId="0" applyNumberFormat="1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1" fontId="7" fillId="9" borderId="11" xfId="0" applyNumberFormat="1" applyFont="1" applyFill="1" applyBorder="1" applyAlignment="1">
      <alignment horizontal="center" vertical="center"/>
    </xf>
    <xf numFmtId="0" fontId="13" fillId="9" borderId="29" xfId="0" applyFont="1" applyFill="1" applyBorder="1" applyAlignment="1">
      <alignment horizontal="center" vertical="center"/>
    </xf>
    <xf numFmtId="0" fontId="13" fillId="9" borderId="30" xfId="0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/>
    </xf>
    <xf numFmtId="1" fontId="8" fillId="9" borderId="11" xfId="0" applyNumberFormat="1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center" vertical="center"/>
    </xf>
    <xf numFmtId="1" fontId="2" fillId="6" borderId="13" xfId="0" applyNumberFormat="1" applyFont="1" applyFill="1" applyBorder="1" applyAlignment="1">
      <alignment horizontal="center" vertical="center"/>
    </xf>
    <xf numFmtId="1" fontId="8" fillId="9" borderId="14" xfId="0" applyNumberFormat="1" applyFont="1" applyFill="1" applyBorder="1" applyAlignment="1">
      <alignment horizontal="center" vertical="center"/>
    </xf>
    <xf numFmtId="0" fontId="8" fillId="9" borderId="32" xfId="0" applyFont="1" applyFill="1" applyBorder="1" applyAlignment="1">
      <alignment horizontal="center" vertical="center"/>
    </xf>
    <xf numFmtId="0" fontId="8" fillId="9" borderId="30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1" fontId="2" fillId="6" borderId="34" xfId="0" applyNumberFormat="1" applyFont="1" applyFill="1" applyBorder="1" applyAlignment="1">
      <alignment horizontal="center" vertical="center"/>
    </xf>
    <xf numFmtId="1" fontId="8" fillId="9" borderId="35" xfId="0" applyNumberFormat="1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6" fillId="9" borderId="37" xfId="0" applyFont="1" applyFill="1" applyBorder="1" applyAlignment="1">
      <alignment horizontal="center" vertical="center"/>
    </xf>
    <xf numFmtId="0" fontId="6" fillId="9" borderId="39" xfId="0" applyFont="1" applyFill="1" applyBorder="1" applyAlignment="1">
      <alignment horizontal="center" vertical="center"/>
    </xf>
    <xf numFmtId="0" fontId="12" fillId="9" borderId="37" xfId="0" applyFont="1" applyFill="1" applyBorder="1" applyAlignment="1">
      <alignment horizontal="center" vertical="center"/>
    </xf>
    <xf numFmtId="0" fontId="12" fillId="9" borderId="39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Sattdampftabelle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Sattdampft!$A$2:$A$20</c:f>
              <c:numCache>
                <c:formatCode>General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2.9</c:v>
                </c:pt>
                <c:pt idx="5">
                  <c:v>3.4</c:v>
                </c:pt>
                <c:pt idx="6">
                  <c:v>3.9</c:v>
                </c:pt>
                <c:pt idx="7">
                  <c:v>4.4000000000000004</c:v>
                </c:pt>
                <c:pt idx="8">
                  <c:v>4.9000000000000004</c:v>
                </c:pt>
                <c:pt idx="9">
                  <c:v>5.4</c:v>
                </c:pt>
                <c:pt idx="10">
                  <c:v>5.9</c:v>
                </c:pt>
                <c:pt idx="11">
                  <c:v>6.4</c:v>
                </c:pt>
                <c:pt idx="12">
                  <c:v>6.9</c:v>
                </c:pt>
                <c:pt idx="13">
                  <c:v>7.4</c:v>
                </c:pt>
                <c:pt idx="14">
                  <c:v>7.8</c:v>
                </c:pt>
                <c:pt idx="15">
                  <c:v>8.3000000000000007</c:v>
                </c:pt>
                <c:pt idx="16">
                  <c:v>8.8000000000000007</c:v>
                </c:pt>
                <c:pt idx="17">
                  <c:v>9.3000000000000007</c:v>
                </c:pt>
                <c:pt idx="18">
                  <c:v>9.8000000000000007</c:v>
                </c:pt>
              </c:numCache>
            </c:numRef>
          </c:xVal>
          <c:yVal>
            <c:numRef>
              <c:f>Sattdampft!$B$2:$B$20</c:f>
              <c:numCache>
                <c:formatCode>General</c:formatCode>
                <c:ptCount val="19"/>
                <c:pt idx="0">
                  <c:v>119</c:v>
                </c:pt>
                <c:pt idx="1">
                  <c:v>126.7</c:v>
                </c:pt>
                <c:pt idx="2">
                  <c:v>132.80000000000001</c:v>
                </c:pt>
                <c:pt idx="3">
                  <c:v>138.1</c:v>
                </c:pt>
                <c:pt idx="4">
                  <c:v>142.80000000000001</c:v>
                </c:pt>
                <c:pt idx="5">
                  <c:v>147.1</c:v>
                </c:pt>
                <c:pt idx="6">
                  <c:v>150.9</c:v>
                </c:pt>
                <c:pt idx="7">
                  <c:v>154.6</c:v>
                </c:pt>
                <c:pt idx="8">
                  <c:v>157.9</c:v>
                </c:pt>
                <c:pt idx="9">
                  <c:v>161.1</c:v>
                </c:pt>
                <c:pt idx="10">
                  <c:v>164</c:v>
                </c:pt>
                <c:pt idx="11">
                  <c:v>166.8</c:v>
                </c:pt>
                <c:pt idx="12">
                  <c:v>169.5</c:v>
                </c:pt>
                <c:pt idx="13">
                  <c:v>172</c:v>
                </c:pt>
                <c:pt idx="14">
                  <c:v>174.4</c:v>
                </c:pt>
                <c:pt idx="15">
                  <c:v>176.8</c:v>
                </c:pt>
                <c:pt idx="16">
                  <c:v>178.9</c:v>
                </c:pt>
                <c:pt idx="17">
                  <c:v>181</c:v>
                </c:pt>
                <c:pt idx="18">
                  <c:v>183.1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EC-49AC-98D3-1187A9628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776904"/>
        <c:axId val="480774936"/>
      </c:scatterChart>
      <c:valAx>
        <c:axId val="480776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0774936"/>
        <c:crosses val="autoZero"/>
        <c:crossBetween val="midCat"/>
      </c:valAx>
      <c:valAx>
        <c:axId val="48077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0776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757237</xdr:colOff>
      <xdr:row>2</xdr:row>
      <xdr:rowOff>38100</xdr:rowOff>
    </xdr:from>
    <xdr:to>
      <xdr:col>8</xdr:col>
      <xdr:colOff>757237</xdr:colOff>
      <xdr:row>16</xdr:row>
      <xdr:rowOff>114300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16B65FE-AB77-423A-A42E-4BC6D6118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B6A2-A09B-4594-8843-69A53A23F21A}">
  <sheetPr>
    <tabColor theme="9" tint="0.59999389629810485"/>
  </sheetPr>
  <dimension ref="B1:S40"/>
  <sheetViews>
    <sheetView tabSelected="1" zoomScale="85" zoomScaleNormal="85" workbookViewId="0">
      <selection activeCell="C51" sqref="C51"/>
    </sheetView>
  </sheetViews>
  <sheetFormatPr baseColWidth="10" defaultColWidth="11.44140625" defaultRowHeight="14.4" x14ac:dyDescent="0.3"/>
  <cols>
    <col min="1" max="1" width="3.6640625" style="6" customWidth="1"/>
    <col min="2" max="2" width="25.6640625" style="6" customWidth="1"/>
    <col min="3" max="3" width="13.6640625" style="6" customWidth="1"/>
    <col min="4" max="4" width="11.6640625" style="6" customWidth="1"/>
    <col min="5" max="5" width="25.6640625" style="6" customWidth="1"/>
    <col min="6" max="6" width="15.6640625" style="6" customWidth="1"/>
    <col min="7" max="7" width="11.6640625" style="42" customWidth="1"/>
    <col min="8" max="8" width="25.6640625" style="6" hidden="1" customWidth="1"/>
    <col min="9" max="9" width="15.6640625" style="6" hidden="1" customWidth="1"/>
    <col min="10" max="10" width="0" style="6" hidden="1" customWidth="1"/>
    <col min="11" max="11" width="25.6640625" style="6" customWidth="1"/>
    <col min="12" max="12" width="15.6640625" style="6" customWidth="1"/>
    <col min="13" max="13" width="11.44140625" style="6"/>
    <col min="14" max="14" width="25.6640625" style="6" hidden="1" customWidth="1"/>
    <col min="15" max="15" width="15.6640625" style="6" hidden="1" customWidth="1"/>
    <col min="16" max="16" width="0" style="6" hidden="1" customWidth="1"/>
    <col min="17" max="17" width="25.6640625" style="6" customWidth="1"/>
    <col min="18" max="18" width="15.6640625" style="6" customWidth="1"/>
    <col min="19" max="16384" width="11.44140625" style="6"/>
  </cols>
  <sheetData>
    <row r="1" spans="2:19" ht="15" customHeight="1" thickBot="1" x14ac:dyDescent="0.35"/>
    <row r="2" spans="2:19" ht="19.8" x14ac:dyDescent="0.3">
      <c r="B2" s="123" t="s">
        <v>27</v>
      </c>
      <c r="C2" s="124"/>
      <c r="D2" s="125"/>
      <c r="E2" s="118" t="s">
        <v>94</v>
      </c>
      <c r="F2" s="119"/>
      <c r="G2" s="120"/>
      <c r="H2" s="110" t="s">
        <v>87</v>
      </c>
      <c r="I2" s="110"/>
      <c r="J2" s="110"/>
      <c r="K2" s="111" t="s">
        <v>95</v>
      </c>
      <c r="L2" s="112"/>
      <c r="M2" s="113"/>
      <c r="N2" s="114" t="s">
        <v>88</v>
      </c>
      <c r="O2" s="114"/>
      <c r="P2" s="114"/>
      <c r="Q2" s="115" t="s">
        <v>96</v>
      </c>
      <c r="R2" s="116"/>
      <c r="S2" s="117"/>
    </row>
    <row r="3" spans="2:19" ht="20.399999999999999" thickBot="1" x14ac:dyDescent="0.35">
      <c r="B3" s="67" t="s">
        <v>25</v>
      </c>
      <c r="C3" s="107">
        <v>58</v>
      </c>
      <c r="D3" s="85" t="s">
        <v>26</v>
      </c>
      <c r="E3" s="67" t="s">
        <v>68</v>
      </c>
      <c r="F3" s="27">
        <f>C30/3.6/1000000</f>
        <v>26.629189422222222</v>
      </c>
      <c r="G3" s="86" t="s">
        <v>17</v>
      </c>
      <c r="H3" s="35" t="s">
        <v>25</v>
      </c>
      <c r="I3" s="69">
        <f>C3*L4/F4</f>
        <v>65.770416786554009</v>
      </c>
      <c r="J3" s="31" t="s">
        <v>26</v>
      </c>
      <c r="K3" s="96" t="s">
        <v>68</v>
      </c>
      <c r="L3" s="52">
        <f>I30/3.6/1000000</f>
        <v>30.196773913580184</v>
      </c>
      <c r="M3" s="71" t="s">
        <v>17</v>
      </c>
      <c r="N3" s="34" t="s">
        <v>25</v>
      </c>
      <c r="O3" s="70">
        <f>C3*R4/F4</f>
        <v>60.338770347652428</v>
      </c>
      <c r="P3" s="33" t="s">
        <v>26</v>
      </c>
      <c r="Q3" s="96" t="s">
        <v>68</v>
      </c>
      <c r="R3" s="52">
        <f>O30/3.6/1000000</f>
        <v>27.702974915372447</v>
      </c>
      <c r="S3" s="71" t="s">
        <v>17</v>
      </c>
    </row>
    <row r="4" spans="2:19" ht="19.8" x14ac:dyDescent="0.3">
      <c r="B4" s="67" t="s">
        <v>86</v>
      </c>
      <c r="C4" s="68">
        <v>9.1999999999999993</v>
      </c>
      <c r="D4" s="86" t="s">
        <v>33</v>
      </c>
      <c r="E4" s="67" t="s">
        <v>69</v>
      </c>
      <c r="F4" s="27">
        <f>'A - 32,36,38,41 geschlossen'!AJ14</f>
        <v>26.631339085665132</v>
      </c>
      <c r="G4" s="86" t="s">
        <v>17</v>
      </c>
      <c r="H4" s="35" t="s">
        <v>86</v>
      </c>
      <c r="I4" s="72">
        <f>C4</f>
        <v>9.1999999999999993</v>
      </c>
      <c r="J4" s="35" t="s">
        <v>33</v>
      </c>
      <c r="K4" s="101" t="s">
        <v>69</v>
      </c>
      <c r="L4" s="53">
        <f>'B - Alle auf'!AJ14</f>
        <v>30.199211573245549</v>
      </c>
      <c r="M4" s="73" t="s">
        <v>17</v>
      </c>
      <c r="N4" s="34" t="s">
        <v>86</v>
      </c>
      <c r="O4" s="34">
        <f>C4</f>
        <v>9.1999999999999993</v>
      </c>
      <c r="P4" s="34" t="s">
        <v>33</v>
      </c>
      <c r="Q4" s="101" t="s">
        <v>69</v>
      </c>
      <c r="R4" s="53">
        <f>'C - 2.TG Umbau'!AG14</f>
        <v>27.705211261041526</v>
      </c>
      <c r="S4" s="73" t="s">
        <v>17</v>
      </c>
    </row>
    <row r="5" spans="2:19" ht="19.8" x14ac:dyDescent="0.3">
      <c r="B5" s="67" t="s">
        <v>36</v>
      </c>
      <c r="C5" s="68">
        <v>51</v>
      </c>
      <c r="D5" s="86" t="s">
        <v>33</v>
      </c>
      <c r="E5" s="67" t="s">
        <v>70</v>
      </c>
      <c r="F5" s="60">
        <f>F4-F3</f>
        <v>2.1496634429105654E-3</v>
      </c>
      <c r="G5" s="86" t="s">
        <v>17</v>
      </c>
      <c r="H5" s="35" t="s">
        <v>36</v>
      </c>
      <c r="I5" s="72">
        <f>C5</f>
        <v>51</v>
      </c>
      <c r="J5" s="35" t="s">
        <v>33</v>
      </c>
      <c r="K5" s="102" t="s">
        <v>70</v>
      </c>
      <c r="L5" s="54">
        <f>L4-L3</f>
        <v>2.4376596653645777E-3</v>
      </c>
      <c r="M5" s="74" t="s">
        <v>17</v>
      </c>
      <c r="N5" s="34" t="s">
        <v>36</v>
      </c>
      <c r="O5" s="34">
        <f>C5</f>
        <v>51</v>
      </c>
      <c r="P5" s="34" t="s">
        <v>33</v>
      </c>
      <c r="Q5" s="102" t="s">
        <v>70</v>
      </c>
      <c r="R5" s="54">
        <f>R4-R3</f>
        <v>2.2363456690790429E-3</v>
      </c>
      <c r="S5" s="74" t="s">
        <v>17</v>
      </c>
    </row>
    <row r="6" spans="2:19" ht="19.8" x14ac:dyDescent="0.3">
      <c r="B6" s="67" t="s">
        <v>38</v>
      </c>
      <c r="C6" s="68">
        <v>125</v>
      </c>
      <c r="D6" s="86" t="s">
        <v>23</v>
      </c>
      <c r="E6" s="90"/>
      <c r="F6" s="56"/>
      <c r="G6" s="91"/>
      <c r="H6" s="35" t="s">
        <v>38</v>
      </c>
      <c r="I6" s="72">
        <f>C6</f>
        <v>125</v>
      </c>
      <c r="J6" s="35" t="s">
        <v>23</v>
      </c>
      <c r="K6" s="103" t="s">
        <v>93</v>
      </c>
      <c r="L6" s="55">
        <f>I3</f>
        <v>65.770416786554009</v>
      </c>
      <c r="M6" s="75" t="s">
        <v>26</v>
      </c>
      <c r="N6" s="34" t="s">
        <v>38</v>
      </c>
      <c r="O6" s="34">
        <f>C6</f>
        <v>125</v>
      </c>
      <c r="P6" s="34" t="s">
        <v>23</v>
      </c>
      <c r="Q6" s="103" t="s">
        <v>93</v>
      </c>
      <c r="R6" s="51">
        <f>O3</f>
        <v>60.338770347652428</v>
      </c>
      <c r="S6" s="75" t="s">
        <v>26</v>
      </c>
    </row>
    <row r="7" spans="2:19" ht="19.8" x14ac:dyDescent="0.3">
      <c r="B7" s="67" t="s">
        <v>46</v>
      </c>
      <c r="C7" s="68">
        <v>7.7</v>
      </c>
      <c r="D7" s="86" t="s">
        <v>23</v>
      </c>
      <c r="E7" s="92"/>
      <c r="F7" s="49"/>
      <c r="G7" s="93"/>
      <c r="H7" s="35" t="s">
        <v>46</v>
      </c>
      <c r="I7" s="72">
        <f>C7</f>
        <v>7.7</v>
      </c>
      <c r="J7" s="35" t="s">
        <v>23</v>
      </c>
      <c r="K7" s="92"/>
      <c r="L7" s="49"/>
      <c r="M7" s="77"/>
      <c r="N7" s="34" t="s">
        <v>46</v>
      </c>
      <c r="O7" s="34">
        <f>C7</f>
        <v>7.7</v>
      </c>
      <c r="P7" s="34" t="s">
        <v>23</v>
      </c>
      <c r="Q7" s="92"/>
      <c r="R7" s="49"/>
      <c r="S7" s="77"/>
    </row>
    <row r="8" spans="2:19" ht="19.8" x14ac:dyDescent="0.3">
      <c r="B8" s="78" t="s">
        <v>77</v>
      </c>
      <c r="C8" s="28">
        <f>C9-0.6</f>
        <v>2.4999999999999996</v>
      </c>
      <c r="D8" s="85" t="s">
        <v>83</v>
      </c>
      <c r="E8" s="92"/>
      <c r="F8" s="49"/>
      <c r="G8" s="93"/>
      <c r="H8" s="31"/>
      <c r="I8" s="31"/>
      <c r="J8" s="31"/>
      <c r="K8" s="92"/>
      <c r="L8" s="49"/>
      <c r="M8" s="77"/>
      <c r="N8" s="33"/>
      <c r="O8" s="33"/>
      <c r="P8" s="33"/>
      <c r="Q8" s="92"/>
      <c r="R8" s="49"/>
      <c r="S8" s="77"/>
    </row>
    <row r="9" spans="2:19" ht="19.8" x14ac:dyDescent="0.3">
      <c r="B9" s="67" t="s">
        <v>78</v>
      </c>
      <c r="C9" s="79">
        <f>C10-0.6</f>
        <v>3.0999999999999996</v>
      </c>
      <c r="D9" s="86" t="s">
        <v>83</v>
      </c>
      <c r="E9" s="94" t="s">
        <v>91</v>
      </c>
      <c r="F9" s="61">
        <f>C3-I3</f>
        <v>-7.7704167865540086</v>
      </c>
      <c r="G9" s="82" t="s">
        <v>26</v>
      </c>
      <c r="H9" s="80"/>
      <c r="I9" s="80"/>
      <c r="J9" s="80"/>
      <c r="K9" s="94" t="s">
        <v>92</v>
      </c>
      <c r="L9" s="62">
        <f>I3-C3</f>
        <v>7.7704167865540086</v>
      </c>
      <c r="M9" s="82" t="s">
        <v>26</v>
      </c>
      <c r="N9" s="81"/>
      <c r="O9" s="81"/>
      <c r="P9" s="81"/>
      <c r="Q9" s="94" t="s">
        <v>92</v>
      </c>
      <c r="R9" s="63">
        <f>O3-C3</f>
        <v>2.338770347652428</v>
      </c>
      <c r="S9" s="82" t="s">
        <v>26</v>
      </c>
    </row>
    <row r="10" spans="2:19" ht="19.8" x14ac:dyDescent="0.3">
      <c r="B10" s="67" t="s">
        <v>79</v>
      </c>
      <c r="C10" s="79">
        <f>C11-0.6</f>
        <v>3.6999999999999997</v>
      </c>
      <c r="D10" s="86" t="s">
        <v>83</v>
      </c>
      <c r="E10" s="95" t="s">
        <v>90</v>
      </c>
      <c r="F10" s="64">
        <f>C3-O3</f>
        <v>-2.338770347652428</v>
      </c>
      <c r="G10" s="83" t="s">
        <v>26</v>
      </c>
      <c r="H10" s="80"/>
      <c r="I10" s="80"/>
      <c r="J10" s="80"/>
      <c r="K10" s="95" t="s">
        <v>90</v>
      </c>
      <c r="L10" s="65">
        <f>I3-O3</f>
        <v>5.4316464389015806</v>
      </c>
      <c r="M10" s="83" t="s">
        <v>26</v>
      </c>
      <c r="N10" s="81"/>
      <c r="O10" s="81"/>
      <c r="P10" s="81"/>
      <c r="Q10" s="95" t="s">
        <v>91</v>
      </c>
      <c r="R10" s="66">
        <f>O3-I3</f>
        <v>-5.4316464389015806</v>
      </c>
      <c r="S10" s="83" t="s">
        <v>26</v>
      </c>
    </row>
    <row r="11" spans="2:19" ht="19.8" x14ac:dyDescent="0.3">
      <c r="B11" s="67" t="s">
        <v>80</v>
      </c>
      <c r="C11" s="68">
        <v>4.3</v>
      </c>
      <c r="D11" s="86" t="s">
        <v>83</v>
      </c>
      <c r="E11" s="96" t="s">
        <v>75</v>
      </c>
      <c r="F11" s="58">
        <f>C20</f>
        <v>1017.5438596491229</v>
      </c>
      <c r="G11" s="97" t="s">
        <v>45</v>
      </c>
      <c r="H11" s="35"/>
      <c r="I11" s="35"/>
      <c r="J11" s="35"/>
      <c r="K11" s="96" t="s">
        <v>75</v>
      </c>
      <c r="L11" s="59">
        <f>I20</f>
        <v>1153.8669611676144</v>
      </c>
      <c r="M11" s="84" t="s">
        <v>45</v>
      </c>
      <c r="N11" s="34"/>
      <c r="O11" s="34"/>
      <c r="P11" s="34"/>
      <c r="Q11" s="96" t="s">
        <v>75</v>
      </c>
      <c r="R11" s="59">
        <f>O20</f>
        <v>1058.5749183798671</v>
      </c>
      <c r="S11" s="84" t="s">
        <v>45</v>
      </c>
    </row>
    <row r="12" spans="2:19" ht="20.399999999999999" thickBot="1" x14ac:dyDescent="0.35">
      <c r="B12" s="87" t="s">
        <v>81</v>
      </c>
      <c r="C12" s="88">
        <f>G14</f>
        <v>0</v>
      </c>
      <c r="D12" s="89" t="s">
        <v>82</v>
      </c>
      <c r="E12" s="98" t="s">
        <v>76</v>
      </c>
      <c r="F12" s="99">
        <f>C29</f>
        <v>42474.559999999998</v>
      </c>
      <c r="G12" s="100" t="s">
        <v>32</v>
      </c>
      <c r="H12" s="35" t="s">
        <v>81</v>
      </c>
      <c r="I12" s="29">
        <f>C12</f>
        <v>0</v>
      </c>
      <c r="J12" s="6" t="s">
        <v>82</v>
      </c>
      <c r="K12" s="98" t="s">
        <v>76</v>
      </c>
      <c r="L12" s="104">
        <f>I29</f>
        <v>48164.991621129222</v>
      </c>
      <c r="M12" s="105" t="s">
        <v>32</v>
      </c>
      <c r="N12" s="34" t="s">
        <v>81</v>
      </c>
      <c r="O12" s="48">
        <f>C12</f>
        <v>0</v>
      </c>
      <c r="P12" s="76" t="s">
        <v>82</v>
      </c>
      <c r="Q12" s="98" t="s">
        <v>76</v>
      </c>
      <c r="R12" s="104">
        <f>O29</f>
        <v>44187.288300992826</v>
      </c>
      <c r="S12" s="105" t="s">
        <v>32</v>
      </c>
    </row>
    <row r="13" spans="2:19" ht="15" thickBot="1" x14ac:dyDescent="0.35">
      <c r="B13" s="36"/>
      <c r="C13" s="37"/>
      <c r="D13" s="37"/>
      <c r="E13" s="37"/>
      <c r="F13" s="37"/>
      <c r="G13" s="38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106"/>
    </row>
    <row r="14" spans="2:19" ht="27.6" thickBot="1" x14ac:dyDescent="0.35">
      <c r="B14" s="126" t="s">
        <v>89</v>
      </c>
      <c r="C14" s="127"/>
      <c r="D14" s="30"/>
      <c r="E14" s="30"/>
      <c r="F14" s="30"/>
      <c r="G14" s="130">
        <v>0</v>
      </c>
      <c r="H14" s="131"/>
      <c r="I14" s="131"/>
      <c r="J14" s="131"/>
      <c r="K14" s="132"/>
      <c r="L14" s="50"/>
      <c r="M14" s="50"/>
      <c r="N14" s="50"/>
      <c r="O14" s="50"/>
      <c r="P14" s="50"/>
      <c r="Q14" s="50"/>
      <c r="R14" s="128" t="s">
        <v>97</v>
      </c>
      <c r="S14" s="129"/>
    </row>
    <row r="15" spans="2:19" ht="15" thickBot="1" x14ac:dyDescent="0.35"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1"/>
    </row>
    <row r="16" spans="2:19" x14ac:dyDescent="0.3">
      <c r="G16" s="6"/>
    </row>
    <row r="17" spans="2:16" ht="19.8" hidden="1" x14ac:dyDescent="0.3">
      <c r="B17" s="121" t="s">
        <v>28</v>
      </c>
      <c r="C17" s="121"/>
      <c r="D17" s="122"/>
      <c r="H17" s="121" t="s">
        <v>28</v>
      </c>
      <c r="I17" s="121"/>
      <c r="J17" s="122"/>
      <c r="N17" s="121" t="s">
        <v>28</v>
      </c>
      <c r="O17" s="121"/>
      <c r="P17" s="122"/>
    </row>
    <row r="18" spans="2:16" hidden="1" x14ac:dyDescent="0.3">
      <c r="B18" s="6" t="s">
        <v>31</v>
      </c>
      <c r="C18" s="42">
        <f>C3*1000</f>
        <v>58000</v>
      </c>
      <c r="D18" s="32" t="s">
        <v>32</v>
      </c>
      <c r="H18" s="6" t="s">
        <v>31</v>
      </c>
      <c r="I18" s="42">
        <f>I3*1000</f>
        <v>65770.416786554008</v>
      </c>
      <c r="J18" s="32" t="s">
        <v>32</v>
      </c>
      <c r="N18" s="6" t="s">
        <v>31</v>
      </c>
      <c r="O18" s="42">
        <f>O3*1000</f>
        <v>60338.770347652426</v>
      </c>
      <c r="P18" s="32" t="s">
        <v>32</v>
      </c>
    </row>
    <row r="19" spans="2:16" hidden="1" x14ac:dyDescent="0.3">
      <c r="B19" s="6" t="s">
        <v>44</v>
      </c>
      <c r="C19" s="42">
        <f>C18/C6*(C6-C7)</f>
        <v>54427.199999999997</v>
      </c>
      <c r="D19" s="32" t="s">
        <v>32</v>
      </c>
      <c r="H19" s="6" t="s">
        <v>44</v>
      </c>
      <c r="I19" s="42">
        <f>I18/I6*(I6-I7)</f>
        <v>61718.959112502278</v>
      </c>
      <c r="J19" s="32" t="s">
        <v>32</v>
      </c>
      <c r="N19" s="6" t="s">
        <v>44</v>
      </c>
      <c r="O19" s="42">
        <f>O18/O6*(O6-O7)</f>
        <v>56621.902094237033</v>
      </c>
      <c r="P19" s="32" t="s">
        <v>32</v>
      </c>
    </row>
    <row r="20" spans="2:16" hidden="1" x14ac:dyDescent="0.3">
      <c r="B20" s="6" t="s">
        <v>48</v>
      </c>
      <c r="C20" s="43">
        <f>C18/C37/C6/C38*1000</f>
        <v>1017.5438596491229</v>
      </c>
      <c r="D20" s="32" t="s">
        <v>45</v>
      </c>
      <c r="H20" s="6" t="s">
        <v>48</v>
      </c>
      <c r="I20" s="43">
        <f>I18/I37/I6/I38*1000</f>
        <v>1153.8669611676144</v>
      </c>
      <c r="J20" s="32" t="s">
        <v>45</v>
      </c>
      <c r="N20" s="6" t="s">
        <v>48</v>
      </c>
      <c r="O20" s="43">
        <f>O18/O37/O6/O38*1000</f>
        <v>1058.5749183798671</v>
      </c>
      <c r="P20" s="32" t="s">
        <v>45</v>
      </c>
    </row>
    <row r="21" spans="2:16" hidden="1" x14ac:dyDescent="0.3">
      <c r="B21" s="6" t="s">
        <v>29</v>
      </c>
      <c r="C21" s="42">
        <f>C3*24</f>
        <v>1392</v>
      </c>
      <c r="D21" s="32" t="s">
        <v>30</v>
      </c>
      <c r="H21" s="6" t="s">
        <v>29</v>
      </c>
      <c r="I21" s="42">
        <f>I3*24</f>
        <v>1578.4900028772963</v>
      </c>
      <c r="J21" s="32" t="s">
        <v>30</v>
      </c>
      <c r="N21" s="6" t="s">
        <v>29</v>
      </c>
      <c r="O21" s="42">
        <f>O3*24</f>
        <v>1448.1304883436583</v>
      </c>
      <c r="P21" s="32" t="s">
        <v>30</v>
      </c>
    </row>
    <row r="22" spans="2:16" hidden="1" x14ac:dyDescent="0.3">
      <c r="B22" s="44" t="s">
        <v>34</v>
      </c>
      <c r="C22" s="45">
        <f>C36-C4</f>
        <v>90.8</v>
      </c>
      <c r="D22" s="46" t="s">
        <v>33</v>
      </c>
      <c r="H22" s="44" t="s">
        <v>34</v>
      </c>
      <c r="I22" s="45">
        <f>I36-I4</f>
        <v>90.8</v>
      </c>
      <c r="J22" s="46" t="s">
        <v>33</v>
      </c>
      <c r="N22" s="44" t="s">
        <v>34</v>
      </c>
      <c r="O22" s="45">
        <f>O36-O4</f>
        <v>90.8</v>
      </c>
      <c r="P22" s="46" t="s">
        <v>33</v>
      </c>
    </row>
    <row r="23" spans="2:16" ht="19.8" hidden="1" x14ac:dyDescent="0.3">
      <c r="B23" s="121" t="s">
        <v>74</v>
      </c>
      <c r="C23" s="121"/>
      <c r="D23" s="122"/>
      <c r="H23" s="121" t="s">
        <v>74</v>
      </c>
      <c r="I23" s="121"/>
      <c r="J23" s="122"/>
      <c r="N23" s="121" t="s">
        <v>74</v>
      </c>
      <c r="O23" s="121"/>
      <c r="P23" s="122"/>
    </row>
    <row r="24" spans="2:16" hidden="1" x14ac:dyDescent="0.3">
      <c r="B24" s="6" t="s">
        <v>35</v>
      </c>
      <c r="C24" s="42">
        <f>C18*C22/C36</f>
        <v>52664</v>
      </c>
      <c r="D24" s="32" t="s">
        <v>32</v>
      </c>
      <c r="H24" s="6" t="s">
        <v>35</v>
      </c>
      <c r="I24" s="42">
        <f>I18*I22/I36</f>
        <v>59719.538442191035</v>
      </c>
      <c r="J24" s="32" t="s">
        <v>32</v>
      </c>
      <c r="N24" s="6" t="s">
        <v>35</v>
      </c>
      <c r="O24" s="42">
        <f>O18*O22/O36</f>
        <v>54787.603475668402</v>
      </c>
      <c r="P24" s="32" t="s">
        <v>32</v>
      </c>
    </row>
    <row r="25" spans="2:16" hidden="1" x14ac:dyDescent="0.3">
      <c r="B25" s="6" t="s">
        <v>37</v>
      </c>
      <c r="C25" s="43">
        <f>C24*C36/C5-C24-(C18-C24)</f>
        <v>45262.745098039217</v>
      </c>
      <c r="D25" s="32" t="s">
        <v>32</v>
      </c>
      <c r="H25" s="6" t="s">
        <v>37</v>
      </c>
      <c r="I25" s="43">
        <f>I24*I36/I5-I24-(I18-I24)</f>
        <v>51326.717413820574</v>
      </c>
      <c r="J25" s="32" t="s">
        <v>32</v>
      </c>
      <c r="N25" s="6" t="s">
        <v>37</v>
      </c>
      <c r="O25" s="43">
        <f>O24*O36/O5-O24-(O18-O24)</f>
        <v>47087.903134050321</v>
      </c>
      <c r="P25" s="32" t="s">
        <v>32</v>
      </c>
    </row>
    <row r="26" spans="2:16" hidden="1" x14ac:dyDescent="0.3">
      <c r="B26" s="44" t="s">
        <v>59</v>
      </c>
      <c r="C26" s="47">
        <f>C25*C39</f>
        <v>102158015.68627451</v>
      </c>
      <c r="D26" s="46" t="s">
        <v>57</v>
      </c>
      <c r="H26" s="44" t="s">
        <v>59</v>
      </c>
      <c r="I26" s="47">
        <f>I25*I39</f>
        <v>115844401.20299304</v>
      </c>
      <c r="J26" s="46" t="s">
        <v>57</v>
      </c>
      <c r="N26" s="44" t="s">
        <v>59</v>
      </c>
      <c r="O26" s="47">
        <f>O25*O39</f>
        <v>106277397.37355158</v>
      </c>
      <c r="P26" s="46" t="s">
        <v>57</v>
      </c>
    </row>
    <row r="27" spans="2:16" ht="19.8" hidden="1" x14ac:dyDescent="0.3">
      <c r="B27" s="121" t="s">
        <v>47</v>
      </c>
      <c r="C27" s="121"/>
      <c r="D27" s="122"/>
      <c r="H27" s="121" t="s">
        <v>47</v>
      </c>
      <c r="I27" s="121"/>
      <c r="J27" s="122"/>
      <c r="N27" s="121" t="s">
        <v>47</v>
      </c>
      <c r="O27" s="121"/>
      <c r="P27" s="122"/>
    </row>
    <row r="28" spans="2:16" hidden="1" x14ac:dyDescent="0.3">
      <c r="B28" s="6" t="s">
        <v>35</v>
      </c>
      <c r="C28" s="42">
        <f>C19*C22/C36</f>
        <v>49419.897599999997</v>
      </c>
      <c r="D28" s="32" t="s">
        <v>32</v>
      </c>
      <c r="H28" s="6" t="s">
        <v>35</v>
      </c>
      <c r="I28" s="42">
        <f>I19*I22/I36</f>
        <v>56040.814874152064</v>
      </c>
      <c r="J28" s="32" t="s">
        <v>32</v>
      </c>
      <c r="N28" s="6" t="s">
        <v>35</v>
      </c>
      <c r="O28" s="42">
        <f>O19*O22/O36</f>
        <v>51412.68710156723</v>
      </c>
      <c r="P28" s="32" t="s">
        <v>32</v>
      </c>
    </row>
    <row r="29" spans="2:16" hidden="1" x14ac:dyDescent="0.3">
      <c r="B29" s="6" t="s">
        <v>37</v>
      </c>
      <c r="C29" s="43">
        <f>C28*C36/C5-C28-(C19-C28)</f>
        <v>42474.559999999998</v>
      </c>
      <c r="D29" s="32" t="s">
        <v>32</v>
      </c>
      <c r="H29" s="6" t="s">
        <v>37</v>
      </c>
      <c r="I29" s="43">
        <f>I28*I36/I5-I28-(I19-I28)</f>
        <v>48164.991621129222</v>
      </c>
      <c r="J29" s="32" t="s">
        <v>32</v>
      </c>
      <c r="N29" s="6" t="s">
        <v>37</v>
      </c>
      <c r="O29" s="43">
        <f>O28*O36/O5-O28-(O19-O28)</f>
        <v>44187.288300992826</v>
      </c>
      <c r="P29" s="32" t="s">
        <v>32</v>
      </c>
    </row>
    <row r="30" spans="2:16" hidden="1" x14ac:dyDescent="0.3">
      <c r="B30" s="6" t="s">
        <v>59</v>
      </c>
      <c r="C30" s="43">
        <f>C29*C39</f>
        <v>95865081.920000002</v>
      </c>
      <c r="D30" s="32" t="s">
        <v>57</v>
      </c>
      <c r="H30" s="6" t="s">
        <v>59</v>
      </c>
      <c r="I30" s="43">
        <f>I29*I39</f>
        <v>108708386.08888866</v>
      </c>
      <c r="J30" s="32" t="s">
        <v>57</v>
      </c>
      <c r="N30" s="6" t="s">
        <v>59</v>
      </c>
      <c r="O30" s="43">
        <f>O29*O39</f>
        <v>99730709.695340812</v>
      </c>
      <c r="P30" s="32" t="s">
        <v>57</v>
      </c>
    </row>
    <row r="31" spans="2:16" hidden="1" x14ac:dyDescent="0.3">
      <c r="D31" s="32"/>
    </row>
    <row r="32" spans="2:16" hidden="1" x14ac:dyDescent="0.3">
      <c r="D32" s="32"/>
    </row>
    <row r="33" spans="2:16" hidden="1" x14ac:dyDescent="0.3">
      <c r="D33" s="32"/>
    </row>
    <row r="34" spans="2:16" hidden="1" x14ac:dyDescent="0.3">
      <c r="D34" s="32"/>
    </row>
    <row r="35" spans="2:16" ht="19.8" hidden="1" x14ac:dyDescent="0.3">
      <c r="B35" s="121" t="s">
        <v>39</v>
      </c>
      <c r="C35" s="121"/>
      <c r="D35" s="122"/>
      <c r="H35" s="121" t="s">
        <v>39</v>
      </c>
      <c r="I35" s="121"/>
      <c r="J35" s="122"/>
      <c r="N35" s="121" t="s">
        <v>39</v>
      </c>
      <c r="O35" s="121"/>
      <c r="P35" s="122"/>
    </row>
    <row r="36" spans="2:16" hidden="1" x14ac:dyDescent="0.3">
      <c r="B36" s="6" t="s">
        <v>33</v>
      </c>
      <c r="C36" s="6">
        <v>100</v>
      </c>
      <c r="D36" s="32" t="s">
        <v>33</v>
      </c>
      <c r="H36" s="6" t="s">
        <v>33</v>
      </c>
      <c r="I36" s="6">
        <v>100</v>
      </c>
      <c r="J36" s="32" t="s">
        <v>33</v>
      </c>
      <c r="N36" s="6" t="s">
        <v>33</v>
      </c>
      <c r="O36" s="6">
        <v>100</v>
      </c>
      <c r="P36" s="32" t="s">
        <v>33</v>
      </c>
    </row>
    <row r="37" spans="2:16" hidden="1" x14ac:dyDescent="0.3">
      <c r="B37" s="6" t="s">
        <v>40</v>
      </c>
      <c r="C37" s="6">
        <v>7.6</v>
      </c>
      <c r="D37" s="32" t="s">
        <v>42</v>
      </c>
      <c r="H37" s="6" t="s">
        <v>40</v>
      </c>
      <c r="I37" s="6">
        <v>7.6</v>
      </c>
      <c r="J37" s="32" t="s">
        <v>42</v>
      </c>
      <c r="N37" s="6" t="s">
        <v>40</v>
      </c>
      <c r="O37" s="6">
        <v>7.6</v>
      </c>
      <c r="P37" s="32" t="s">
        <v>42</v>
      </c>
    </row>
    <row r="38" spans="2:16" hidden="1" x14ac:dyDescent="0.3">
      <c r="B38" s="6" t="s">
        <v>41</v>
      </c>
      <c r="C38" s="6">
        <v>60</v>
      </c>
      <c r="D38" s="32" t="s">
        <v>43</v>
      </c>
      <c r="H38" s="6" t="s">
        <v>41</v>
      </c>
      <c r="I38" s="6">
        <v>60</v>
      </c>
      <c r="J38" s="32" t="s">
        <v>43</v>
      </c>
      <c r="N38" s="6" t="s">
        <v>41</v>
      </c>
      <c r="O38" s="6">
        <v>60</v>
      </c>
      <c r="P38" s="32" t="s">
        <v>43</v>
      </c>
    </row>
    <row r="39" spans="2:16" hidden="1" x14ac:dyDescent="0.3">
      <c r="B39" s="6" t="s">
        <v>55</v>
      </c>
      <c r="C39" s="6">
        <v>2257</v>
      </c>
      <c r="D39" s="32" t="s">
        <v>56</v>
      </c>
      <c r="H39" s="6" t="s">
        <v>55</v>
      </c>
      <c r="I39" s="6">
        <v>2257</v>
      </c>
      <c r="J39" s="32" t="s">
        <v>56</v>
      </c>
      <c r="N39" s="6" t="s">
        <v>55</v>
      </c>
      <c r="O39" s="6">
        <v>2257</v>
      </c>
      <c r="P39" s="32" t="s">
        <v>56</v>
      </c>
    </row>
    <row r="40" spans="2:16" x14ac:dyDescent="0.3">
      <c r="B40" s="9" t="s">
        <v>27</v>
      </c>
      <c r="C40" s="57" t="s">
        <v>27</v>
      </c>
    </row>
  </sheetData>
  <protectedRanges>
    <protectedRange sqref="C3:C7 C11 G14:K14" name="Eingabe"/>
  </protectedRanges>
  <mergeCells count="21">
    <mergeCell ref="R14:S14"/>
    <mergeCell ref="G14:K14"/>
    <mergeCell ref="H35:J35"/>
    <mergeCell ref="N35:P35"/>
    <mergeCell ref="H17:J17"/>
    <mergeCell ref="H23:J23"/>
    <mergeCell ref="H27:J27"/>
    <mergeCell ref="N17:P17"/>
    <mergeCell ref="N23:P23"/>
    <mergeCell ref="N27:P27"/>
    <mergeCell ref="B35:D35"/>
    <mergeCell ref="B27:D27"/>
    <mergeCell ref="B23:D23"/>
    <mergeCell ref="B17:D17"/>
    <mergeCell ref="B2:D2"/>
    <mergeCell ref="B14:C14"/>
    <mergeCell ref="H2:J2"/>
    <mergeCell ref="K2:M2"/>
    <mergeCell ref="N2:P2"/>
    <mergeCell ref="Q2:S2"/>
    <mergeCell ref="E2:G2"/>
  </mergeCell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6226-9BE7-4FD2-89C9-DE127FF5B9B4}">
  <sheetPr>
    <tabColor theme="5"/>
  </sheetPr>
  <dimension ref="A1:AK19"/>
  <sheetViews>
    <sheetView zoomScaleNormal="100" workbookViewId="0">
      <pane xSplit="2" topLeftCell="T1" activePane="topRight" state="frozen"/>
      <selection pane="topRight" activeCell="AJ14" sqref="AJ14"/>
    </sheetView>
  </sheetViews>
  <sheetFormatPr baseColWidth="10" defaultRowHeight="14.4" x14ac:dyDescent="0.3"/>
  <cols>
    <col min="1" max="1" width="20.88671875" customWidth="1"/>
  </cols>
  <sheetData>
    <row r="1" spans="1:37" x14ac:dyDescent="0.3">
      <c r="A1" s="108" t="s">
        <v>47</v>
      </c>
    </row>
    <row r="2" spans="1:37" x14ac:dyDescent="0.3">
      <c r="A2" s="109"/>
      <c r="B2" s="7" t="s">
        <v>54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7" x14ac:dyDescent="0.3">
      <c r="A3" s="10" t="s">
        <v>49</v>
      </c>
      <c r="B3" s="6" t="s">
        <v>72</v>
      </c>
      <c r="C3" s="1">
        <v>1</v>
      </c>
      <c r="D3" s="1">
        <v>3</v>
      </c>
      <c r="E3" s="1">
        <v>5</v>
      </c>
      <c r="F3" s="1">
        <v>7</v>
      </c>
      <c r="G3" s="1">
        <v>9</v>
      </c>
      <c r="H3" s="1">
        <v>11</v>
      </c>
      <c r="I3" s="1">
        <v>13</v>
      </c>
      <c r="J3" s="1">
        <v>15</v>
      </c>
      <c r="K3" s="1">
        <v>17</v>
      </c>
      <c r="L3" s="1">
        <v>18</v>
      </c>
      <c r="M3" s="1">
        <v>19</v>
      </c>
      <c r="N3" s="1">
        <v>20</v>
      </c>
      <c r="O3" s="1">
        <v>21</v>
      </c>
      <c r="P3" s="1">
        <v>22</v>
      </c>
      <c r="Q3" s="1">
        <v>23</v>
      </c>
      <c r="R3" s="1">
        <v>24</v>
      </c>
      <c r="S3" s="1">
        <v>25</v>
      </c>
      <c r="T3" s="1">
        <v>26</v>
      </c>
      <c r="U3" s="1">
        <v>27</v>
      </c>
      <c r="V3" s="1">
        <v>28</v>
      </c>
      <c r="W3" s="1">
        <v>29</v>
      </c>
      <c r="X3" s="1">
        <v>30</v>
      </c>
      <c r="Y3" s="1">
        <v>31</v>
      </c>
      <c r="Z3" s="1">
        <v>32</v>
      </c>
      <c r="AA3" s="1">
        <v>33</v>
      </c>
      <c r="AB3" s="1">
        <v>34</v>
      </c>
      <c r="AC3" s="1">
        <v>35</v>
      </c>
      <c r="AD3" s="1">
        <v>36</v>
      </c>
      <c r="AE3" s="1">
        <v>37</v>
      </c>
      <c r="AF3" s="1">
        <v>38</v>
      </c>
      <c r="AG3" s="1">
        <v>39</v>
      </c>
      <c r="AH3" s="1">
        <v>40</v>
      </c>
      <c r="AI3" s="23">
        <v>41</v>
      </c>
      <c r="AJ3" s="2">
        <f>COUNT(C3:AI3)</f>
        <v>33</v>
      </c>
      <c r="AK3" t="s">
        <v>49</v>
      </c>
    </row>
    <row r="4" spans="1:37" x14ac:dyDescent="0.3">
      <c r="A4" s="10" t="s">
        <v>50</v>
      </c>
      <c r="B4" s="9" t="s">
        <v>42</v>
      </c>
      <c r="C4" s="14">
        <v>1.51</v>
      </c>
      <c r="D4" s="14">
        <v>1.82</v>
      </c>
      <c r="E4" s="14">
        <v>1.82</v>
      </c>
      <c r="F4" s="14">
        <v>1.82</v>
      </c>
      <c r="G4" s="14">
        <v>1.82</v>
      </c>
      <c r="H4" s="14">
        <v>1.82</v>
      </c>
      <c r="I4" s="14">
        <v>1.82</v>
      </c>
      <c r="J4" s="14">
        <v>1.82</v>
      </c>
      <c r="K4" s="14">
        <v>1.82</v>
      </c>
      <c r="L4" s="14">
        <v>1.82</v>
      </c>
      <c r="M4" s="14">
        <v>1.82</v>
      </c>
      <c r="N4" s="14">
        <v>1.82</v>
      </c>
      <c r="O4" s="14">
        <v>1.82</v>
      </c>
      <c r="P4" s="14">
        <v>1.82</v>
      </c>
      <c r="Q4" s="14">
        <v>1.82</v>
      </c>
      <c r="R4" s="14">
        <v>1.82</v>
      </c>
      <c r="S4" s="14">
        <v>1.82</v>
      </c>
      <c r="T4" s="14">
        <v>1.82</v>
      </c>
      <c r="U4" s="14">
        <v>1.82</v>
      </c>
      <c r="V4" s="14">
        <v>1.82</v>
      </c>
      <c r="W4" s="14">
        <v>1.82</v>
      </c>
      <c r="X4" s="14">
        <v>1.82</v>
      </c>
      <c r="Y4" s="14">
        <v>1.82</v>
      </c>
      <c r="Z4" s="14">
        <v>1.82</v>
      </c>
      <c r="AA4" s="14">
        <v>1.82</v>
      </c>
      <c r="AB4" s="14">
        <v>1.82</v>
      </c>
      <c r="AC4" s="14">
        <v>1.82</v>
      </c>
      <c r="AD4" s="14">
        <v>1.82</v>
      </c>
      <c r="AE4" s="14">
        <v>1.82</v>
      </c>
      <c r="AF4" s="14">
        <v>1.82</v>
      </c>
      <c r="AG4" s="14">
        <v>1.82</v>
      </c>
      <c r="AH4" s="14">
        <v>1.82</v>
      </c>
      <c r="AI4" s="15">
        <v>1.82</v>
      </c>
    </row>
    <row r="5" spans="1:37" x14ac:dyDescent="0.3">
      <c r="A5" s="10" t="s">
        <v>51</v>
      </c>
      <c r="B5" s="9" t="s">
        <v>33</v>
      </c>
      <c r="C5" s="5">
        <v>80</v>
      </c>
      <c r="D5" s="5">
        <v>80</v>
      </c>
      <c r="E5" s="5">
        <v>80</v>
      </c>
      <c r="F5" s="5">
        <v>80</v>
      </c>
      <c r="G5" s="5">
        <v>80</v>
      </c>
      <c r="H5" s="5">
        <v>80</v>
      </c>
      <c r="I5" s="5">
        <v>80</v>
      </c>
      <c r="J5" s="5">
        <v>80</v>
      </c>
      <c r="K5" s="5">
        <v>80</v>
      </c>
      <c r="L5" s="5">
        <v>80</v>
      </c>
      <c r="M5" s="5">
        <v>80</v>
      </c>
      <c r="N5" s="5">
        <v>80</v>
      </c>
      <c r="O5" s="5">
        <v>80</v>
      </c>
      <c r="P5" s="5">
        <v>80</v>
      </c>
      <c r="Q5" s="5">
        <v>80</v>
      </c>
      <c r="R5" s="5">
        <v>80</v>
      </c>
      <c r="S5" s="5">
        <v>80</v>
      </c>
      <c r="T5" s="5">
        <v>80</v>
      </c>
      <c r="U5" s="5">
        <v>80</v>
      </c>
      <c r="V5" s="5">
        <v>80</v>
      </c>
      <c r="W5" s="5">
        <v>80</v>
      </c>
      <c r="X5" s="5">
        <v>80</v>
      </c>
      <c r="Y5" s="5">
        <v>80</v>
      </c>
      <c r="Z5" s="5">
        <v>0</v>
      </c>
      <c r="AA5" s="5">
        <v>80</v>
      </c>
      <c r="AB5" s="5">
        <v>80</v>
      </c>
      <c r="AC5" s="5">
        <v>80</v>
      </c>
      <c r="AD5" s="5">
        <v>0</v>
      </c>
      <c r="AE5" s="5">
        <v>80</v>
      </c>
      <c r="AF5" s="5">
        <v>0</v>
      </c>
      <c r="AG5" s="5">
        <v>80</v>
      </c>
      <c r="AH5" s="5">
        <v>80</v>
      </c>
      <c r="AI5" s="22">
        <v>0</v>
      </c>
      <c r="AJ5" s="26">
        <v>4</v>
      </c>
      <c r="AK5" s="26">
        <f>AJ3-AJ5</f>
        <v>29</v>
      </c>
    </row>
    <row r="6" spans="1:37" x14ac:dyDescent="0.3">
      <c r="A6" s="10" t="s">
        <v>52</v>
      </c>
      <c r="B6" s="9" t="s">
        <v>15</v>
      </c>
      <c r="C6" s="14">
        <f>2*PI()*7.6*(C4/2)</f>
        <v>36.052917292596469</v>
      </c>
      <c r="D6" s="14">
        <f t="shared" ref="D6:R6" si="0">2*PI()*7.6*(D4/2)</f>
        <v>43.454509584454023</v>
      </c>
      <c r="E6" s="14">
        <f t="shared" si="0"/>
        <v>43.454509584454023</v>
      </c>
      <c r="F6" s="14">
        <f t="shared" si="0"/>
        <v>43.454509584454023</v>
      </c>
      <c r="G6" s="14">
        <f t="shared" si="0"/>
        <v>43.454509584454023</v>
      </c>
      <c r="H6" s="14">
        <f t="shared" si="0"/>
        <v>43.454509584454023</v>
      </c>
      <c r="I6" s="14">
        <f t="shared" si="0"/>
        <v>43.454509584454023</v>
      </c>
      <c r="J6" s="14">
        <f t="shared" si="0"/>
        <v>43.454509584454023</v>
      </c>
      <c r="K6" s="14">
        <f t="shared" si="0"/>
        <v>43.454509584454023</v>
      </c>
      <c r="L6" s="14">
        <f t="shared" si="0"/>
        <v>43.454509584454023</v>
      </c>
      <c r="M6" s="14">
        <f t="shared" si="0"/>
        <v>43.454509584454023</v>
      </c>
      <c r="N6" s="14">
        <f t="shared" si="0"/>
        <v>43.454509584454023</v>
      </c>
      <c r="O6" s="14">
        <f t="shared" si="0"/>
        <v>43.454509584454023</v>
      </c>
      <c r="P6" s="14">
        <f t="shared" si="0"/>
        <v>43.454509584454023</v>
      </c>
      <c r="Q6" s="14">
        <f t="shared" si="0"/>
        <v>43.454509584454023</v>
      </c>
      <c r="R6" s="14">
        <f t="shared" si="0"/>
        <v>43.454509584454023</v>
      </c>
      <c r="S6" s="14">
        <f t="shared" ref="S6:AI6" si="1">2*PI()*7.6*(S4/2)</f>
        <v>43.454509584454023</v>
      </c>
      <c r="T6" s="14">
        <f t="shared" si="1"/>
        <v>43.454509584454023</v>
      </c>
      <c r="U6" s="14">
        <f t="shared" si="1"/>
        <v>43.454509584454023</v>
      </c>
      <c r="V6" s="14">
        <f t="shared" si="1"/>
        <v>43.454509584454023</v>
      </c>
      <c r="W6" s="14">
        <f t="shared" si="1"/>
        <v>43.454509584454023</v>
      </c>
      <c r="X6" s="14">
        <f t="shared" si="1"/>
        <v>43.454509584454023</v>
      </c>
      <c r="Y6" s="14">
        <f t="shared" si="1"/>
        <v>43.454509584454023</v>
      </c>
      <c r="Z6" s="14">
        <f t="shared" si="1"/>
        <v>43.454509584454023</v>
      </c>
      <c r="AA6" s="14">
        <f t="shared" si="1"/>
        <v>43.454509584454023</v>
      </c>
      <c r="AB6" s="14">
        <f t="shared" si="1"/>
        <v>43.454509584454023</v>
      </c>
      <c r="AC6" s="14">
        <f t="shared" si="1"/>
        <v>43.454509584454023</v>
      </c>
      <c r="AD6" s="14">
        <f t="shared" si="1"/>
        <v>43.454509584454023</v>
      </c>
      <c r="AE6" s="14">
        <f t="shared" si="1"/>
        <v>43.454509584454023</v>
      </c>
      <c r="AF6" s="14">
        <f t="shared" si="1"/>
        <v>43.454509584454023</v>
      </c>
      <c r="AG6" s="14">
        <f t="shared" si="1"/>
        <v>43.454509584454023</v>
      </c>
      <c r="AH6" s="14">
        <f t="shared" si="1"/>
        <v>43.454509584454023</v>
      </c>
      <c r="AI6" s="15">
        <f t="shared" si="1"/>
        <v>43.454509584454023</v>
      </c>
    </row>
    <row r="7" spans="1:37" x14ac:dyDescent="0.3">
      <c r="A7" s="10" t="s">
        <v>53</v>
      </c>
      <c r="B7" s="9" t="s">
        <v>15</v>
      </c>
      <c r="C7" s="14">
        <f>C6*C5/100</f>
        <v>28.842333834077177</v>
      </c>
      <c r="D7" s="14">
        <f>D6*D5/100</f>
        <v>34.763607667563221</v>
      </c>
      <c r="E7" s="14">
        <f t="shared" ref="E7:F7" si="2">E6*E5/100</f>
        <v>34.763607667563221</v>
      </c>
      <c r="F7" s="14">
        <f t="shared" si="2"/>
        <v>34.763607667563221</v>
      </c>
      <c r="G7" s="14">
        <f t="shared" ref="G7" si="3">G6*G5/100</f>
        <v>34.763607667563221</v>
      </c>
      <c r="H7" s="14">
        <f t="shared" ref="H7:I7" si="4">H6*H5/100</f>
        <v>34.763607667563221</v>
      </c>
      <c r="I7" s="14">
        <f t="shared" si="4"/>
        <v>34.763607667563221</v>
      </c>
      <c r="J7" s="14">
        <f t="shared" ref="J7" si="5">J6*J5/100</f>
        <v>34.763607667563221</v>
      </c>
      <c r="K7" s="14">
        <f t="shared" ref="K7:L7" si="6">K6*K5/100</f>
        <v>34.763607667563221</v>
      </c>
      <c r="L7" s="14">
        <f t="shared" si="6"/>
        <v>34.763607667563221</v>
      </c>
      <c r="M7" s="14">
        <f t="shared" ref="M7" si="7">M6*M5/100</f>
        <v>34.763607667563221</v>
      </c>
      <c r="N7" s="14">
        <f t="shared" ref="N7:O7" si="8">N6*N5/100</f>
        <v>34.763607667563221</v>
      </c>
      <c r="O7" s="14">
        <f t="shared" si="8"/>
        <v>34.763607667563221</v>
      </c>
      <c r="P7" s="14">
        <f t="shared" ref="P7" si="9">P6*P5/100</f>
        <v>34.763607667563221</v>
      </c>
      <c r="Q7" s="14">
        <f t="shared" ref="Q7:R7" si="10">Q6*Q5/100</f>
        <v>34.763607667563221</v>
      </c>
      <c r="R7" s="14">
        <f t="shared" si="10"/>
        <v>34.763607667563221</v>
      </c>
      <c r="S7" s="14">
        <f>S6*S5/100</f>
        <v>34.763607667563221</v>
      </c>
      <c r="T7" s="14">
        <f>T6*T5/100</f>
        <v>34.763607667563221</v>
      </c>
      <c r="U7" s="14">
        <f t="shared" ref="U7:V7" si="11">U6*U5/100</f>
        <v>34.763607667563221</v>
      </c>
      <c r="V7" s="14">
        <f t="shared" si="11"/>
        <v>34.763607667563221</v>
      </c>
      <c r="W7" s="14">
        <f t="shared" ref="W7" si="12">W6*W5/100</f>
        <v>34.763607667563221</v>
      </c>
      <c r="X7" s="14">
        <f t="shared" ref="X7:Y7" si="13">X6*X5/100</f>
        <v>34.763607667563221</v>
      </c>
      <c r="Y7" s="14">
        <f t="shared" si="13"/>
        <v>34.763607667563221</v>
      </c>
      <c r="Z7" s="14">
        <f t="shared" ref="Z7" si="14">Z6*Z5/100</f>
        <v>0</v>
      </c>
      <c r="AA7" s="14">
        <f t="shared" ref="AA7:AB7" si="15">AA6*AA5/100</f>
        <v>34.763607667563221</v>
      </c>
      <c r="AB7" s="14">
        <f t="shared" si="15"/>
        <v>34.763607667563221</v>
      </c>
      <c r="AC7" s="14">
        <f t="shared" ref="AC7" si="16">AC6*AC5/100</f>
        <v>34.763607667563221</v>
      </c>
      <c r="AD7" s="14">
        <f t="shared" ref="AD7:AE7" si="17">AD6*AD5/100</f>
        <v>0</v>
      </c>
      <c r="AE7" s="14">
        <f t="shared" si="17"/>
        <v>34.763607667563221</v>
      </c>
      <c r="AF7" s="14">
        <f t="shared" ref="AF7" si="18">AF6*AF5/100</f>
        <v>0</v>
      </c>
      <c r="AG7" s="14">
        <f t="shared" ref="AG7:AH7" si="19">AG6*AG5/100</f>
        <v>34.763607667563221</v>
      </c>
      <c r="AH7" s="14">
        <f t="shared" si="19"/>
        <v>34.763607667563221</v>
      </c>
      <c r="AI7" s="15">
        <f t="shared" ref="AI7" si="20">AI6*AI5/100</f>
        <v>0</v>
      </c>
      <c r="AJ7" s="13">
        <f>SUM(C7:AI7)</f>
        <v>1002.2233485258469</v>
      </c>
      <c r="AK7" s="8" t="s">
        <v>15</v>
      </c>
    </row>
    <row r="8" spans="1:37" x14ac:dyDescent="0.3">
      <c r="A8" s="10" t="s">
        <v>60</v>
      </c>
      <c r="B8" s="9" t="s">
        <v>62</v>
      </c>
      <c r="C8" s="24" cm="1">
        <f t="array" ref="C8">_xlfn.IFS(Main!C12=0,'A - 32,36,38,41 geschlossen'!C15,Main!C12=1,'A - 32,36,38,41 geschlossen'!C16)</f>
        <v>2.2999999999999998</v>
      </c>
      <c r="D8" s="24" cm="1">
        <f t="array" ref="D8">_xlfn.IFS(Main!C12=0,'A - 32,36,38,41 geschlossen'!D15,Main!C12=1,'A - 32,36,38,41 geschlossen'!D16)</f>
        <v>2.5</v>
      </c>
      <c r="E8" s="24" cm="1">
        <f t="array" ref="E8">_xlfn.IFS(Main!C12=0,'A - 32,36,38,41 geschlossen'!E15,Main!C12=1,'A - 32,36,38,41 geschlossen'!E16)</f>
        <v>2.7</v>
      </c>
      <c r="F8" s="24" cm="1">
        <f t="array" ref="F8">_xlfn.IFS(Main!C12=0,'A - 32,36,38,41 geschlossen'!F15,Main!C12=1,'A - 32,36,38,41 geschlossen'!F16)</f>
        <v>3.5</v>
      </c>
      <c r="G8" s="24">
        <f>Main!C8</f>
        <v>2.4999999999999996</v>
      </c>
      <c r="H8" s="24">
        <f>Main!C8</f>
        <v>2.4999999999999996</v>
      </c>
      <c r="I8" s="24">
        <f>Main!C9</f>
        <v>3.0999999999999996</v>
      </c>
      <c r="J8" s="17">
        <f>I8</f>
        <v>3.0999999999999996</v>
      </c>
      <c r="K8" s="17">
        <f>I8</f>
        <v>3.0999999999999996</v>
      </c>
      <c r="L8" s="16">
        <v>3.5</v>
      </c>
      <c r="M8" s="24">
        <f>Main!C10</f>
        <v>3.6999999999999997</v>
      </c>
      <c r="N8" s="17">
        <f>M8</f>
        <v>3.6999999999999997</v>
      </c>
      <c r="O8" s="17">
        <f>M8</f>
        <v>3.6999999999999997</v>
      </c>
      <c r="P8" s="17">
        <f>M8</f>
        <v>3.6999999999999997</v>
      </c>
      <c r="Q8" s="17">
        <f>M8</f>
        <v>3.6999999999999997</v>
      </c>
      <c r="R8" s="17">
        <f>M8</f>
        <v>3.6999999999999997</v>
      </c>
      <c r="S8" s="17">
        <f>M8</f>
        <v>3.6999999999999997</v>
      </c>
      <c r="T8" s="17">
        <f>M8</f>
        <v>3.6999999999999997</v>
      </c>
      <c r="U8" s="17">
        <f>M8</f>
        <v>3.6999999999999997</v>
      </c>
      <c r="V8" s="24">
        <f>Main!C11</f>
        <v>4.3</v>
      </c>
      <c r="W8" s="17">
        <f>V8</f>
        <v>4.3</v>
      </c>
      <c r="X8" s="17">
        <f>V8</f>
        <v>4.3</v>
      </c>
      <c r="Y8" s="17">
        <f>V8</f>
        <v>4.3</v>
      </c>
      <c r="Z8" s="17">
        <f>V8</f>
        <v>4.3</v>
      </c>
      <c r="AA8" s="17">
        <f>V8</f>
        <v>4.3</v>
      </c>
      <c r="AB8" s="17">
        <f>V8</f>
        <v>4.3</v>
      </c>
      <c r="AC8" s="17">
        <f>V8</f>
        <v>4.3</v>
      </c>
      <c r="AD8" s="17">
        <f>V8</f>
        <v>4.3</v>
      </c>
      <c r="AE8" s="17">
        <f>V8</f>
        <v>4.3</v>
      </c>
      <c r="AF8" s="17">
        <f>V8</f>
        <v>4.3</v>
      </c>
      <c r="AG8" s="17">
        <f>V8</f>
        <v>4.3</v>
      </c>
      <c r="AH8" s="17">
        <f>V8</f>
        <v>4.3</v>
      </c>
      <c r="AI8" s="18">
        <f>V8</f>
        <v>4.3</v>
      </c>
    </row>
    <row r="9" spans="1:37" x14ac:dyDescent="0.3">
      <c r="A9" s="10" t="s">
        <v>63</v>
      </c>
      <c r="B9" s="9" t="s">
        <v>13</v>
      </c>
      <c r="C9" s="17">
        <f>_xlfn.XLOOKUP(C8,Sattdampft!A2:A20,Sattdampft!B2:B20,,-1)</f>
        <v>132.80000000000001</v>
      </c>
      <c r="D9" s="17">
        <f>_xlfn.XLOOKUP(D8,Sattdampft!A2:A20,Sattdampft!B2:B20,,-1)</f>
        <v>138.1</v>
      </c>
      <c r="E9" s="17">
        <f>_xlfn.XLOOKUP(E8,Sattdampft!A2:A20,Sattdampft!B2:B20,,-1)</f>
        <v>138.1</v>
      </c>
      <c r="F9" s="17">
        <f>_xlfn.XLOOKUP(F8,Sattdampft!A2:A20,Sattdampft!B2:B20,,-1)</f>
        <v>147.1</v>
      </c>
      <c r="G9" s="17">
        <f>_xlfn.XLOOKUP(G8,Sattdampft!A2:A20,Sattdampft!B2:B20,,-1)</f>
        <v>132.80000000000001</v>
      </c>
      <c r="H9" s="17">
        <f>_xlfn.XLOOKUP(H8,Sattdampft!A2:A20,Sattdampft!B2:B20,,-1)</f>
        <v>132.80000000000001</v>
      </c>
      <c r="I9" s="17">
        <f>_xlfn.XLOOKUP(I8,Sattdampft!A2:A20,Sattdampft!B2:B20,,-1)</f>
        <v>142.80000000000001</v>
      </c>
      <c r="J9" s="17">
        <f>_xlfn.XLOOKUP(J8,Sattdampft!A2:A20,Sattdampft!B2:B20,,-1)</f>
        <v>142.80000000000001</v>
      </c>
      <c r="K9" s="17">
        <f>_xlfn.XLOOKUP(K8,Sattdampft!A2:A20,Sattdampft!B2:B20,,-1)</f>
        <v>142.80000000000001</v>
      </c>
      <c r="L9" s="17">
        <f>_xlfn.XLOOKUP(L8,Sattdampft!A2:A20,Sattdampft!B2:B20,,-1)</f>
        <v>147.1</v>
      </c>
      <c r="M9" s="17">
        <f>_xlfn.XLOOKUP(M8,Sattdampft!A2:A20,Sattdampft!B2:B20,,-1)</f>
        <v>147.1</v>
      </c>
      <c r="N9" s="17">
        <f>_xlfn.XLOOKUP(N8,Sattdampft!A2:A20,Sattdampft!B2:B20,,-1)</f>
        <v>147.1</v>
      </c>
      <c r="O9" s="17">
        <f>_xlfn.XLOOKUP(O8,Sattdampft!A2:A20,Sattdampft!B2:B20,,-1)</f>
        <v>147.1</v>
      </c>
      <c r="P9" s="17">
        <f>_xlfn.XLOOKUP(P8,Sattdampft!A2:A20,Sattdampft!B2:B20,,-1)</f>
        <v>147.1</v>
      </c>
      <c r="Q9" s="17">
        <f>_xlfn.XLOOKUP(Q8,Sattdampft!A2:A20,Sattdampft!B2:B20,,-1)</f>
        <v>147.1</v>
      </c>
      <c r="R9" s="17">
        <f>_xlfn.XLOOKUP(R8,Sattdampft!A2:A20,Sattdampft!B2:B20,,-1)</f>
        <v>147.1</v>
      </c>
      <c r="S9" s="17">
        <f>_xlfn.XLOOKUP(S8,Sattdampft!A2:A20,Sattdampft!B2:B20,,-1)</f>
        <v>147.1</v>
      </c>
      <c r="T9" s="17">
        <f>_xlfn.XLOOKUP(T8,Sattdampft!A2:A20,Sattdampft!B2:B20,,-1)</f>
        <v>147.1</v>
      </c>
      <c r="U9" s="17">
        <f>_xlfn.XLOOKUP(U8,Sattdampft!A2:A20,Sattdampft!B2:B20,,-1)</f>
        <v>147.1</v>
      </c>
      <c r="V9" s="17">
        <f>_xlfn.XLOOKUP(V8,Sattdampft!A2:A20,Sattdampft!B2:B20,,-1)</f>
        <v>150.9</v>
      </c>
      <c r="W9" s="17">
        <f>_xlfn.XLOOKUP(W8,Sattdampft!A2:A20,Sattdampft!B2:B20,,-1)</f>
        <v>150.9</v>
      </c>
      <c r="X9" s="17">
        <f>_xlfn.XLOOKUP(X8,Sattdampft!A2:A20,Sattdampft!B2:B20,,-1)</f>
        <v>150.9</v>
      </c>
      <c r="Y9" s="17">
        <f>_xlfn.XLOOKUP(Y8,Sattdampft!A2:A20,Sattdampft!B2:B20,,-1)</f>
        <v>150.9</v>
      </c>
      <c r="Z9" s="17">
        <f>_xlfn.XLOOKUP(Z8,Sattdampft!A2:A20,Sattdampft!B2:B20,,-1)</f>
        <v>150.9</v>
      </c>
      <c r="AA9" s="17">
        <f>_xlfn.XLOOKUP(AA8,Sattdampft!A2:A20,Sattdampft!B2:B20,,-1)</f>
        <v>150.9</v>
      </c>
      <c r="AB9" s="17">
        <f>_xlfn.XLOOKUP(AB8,Sattdampft!A2:A20,Sattdampft!B2:B20,,-1)</f>
        <v>150.9</v>
      </c>
      <c r="AC9" s="17">
        <f>_xlfn.XLOOKUP(AC8,Sattdampft!A2:A20,Sattdampft!B2:B20,,-1)</f>
        <v>150.9</v>
      </c>
      <c r="AD9" s="17">
        <f>_xlfn.XLOOKUP(AD8,Sattdampft!A2:A20,Sattdampft!B2:B20,,-1)</f>
        <v>150.9</v>
      </c>
      <c r="AE9" s="17">
        <f>_xlfn.XLOOKUP(AE8,Sattdampft!A2:A20,Sattdampft!B2:B20,,-1)</f>
        <v>150.9</v>
      </c>
      <c r="AF9" s="17">
        <f>_xlfn.XLOOKUP(AF8,Sattdampft!A2:A20,Sattdampft!B2:B20,,-1)</f>
        <v>150.9</v>
      </c>
      <c r="AG9" s="17">
        <f>_xlfn.XLOOKUP(AG8,Sattdampft!A2:A20,Sattdampft!B2:B20,,-1)</f>
        <v>150.9</v>
      </c>
      <c r="AH9" s="17">
        <f>_xlfn.XLOOKUP(AH8,Sattdampft!A2:A20,Sattdampft!B2:B20,,-1)</f>
        <v>150.9</v>
      </c>
      <c r="AI9" s="18">
        <f>_xlfn.XLOOKUP(AI8,Sattdampft!A2:A20,Sattdampft!B2:B20,,-1)</f>
        <v>150.9</v>
      </c>
    </row>
    <row r="10" spans="1:37" x14ac:dyDescent="0.3">
      <c r="A10" s="10" t="s">
        <v>64</v>
      </c>
      <c r="B10" s="9" t="s">
        <v>13</v>
      </c>
      <c r="C10" s="25" cm="1">
        <f t="array" ref="C10">_xlfn.IFS(Main!C12=0,'A - 32,36,38,41 geschlossen'!C17,Main!C12=1,'A - 32,36,38,41 geschlossen'!C18)</f>
        <v>50</v>
      </c>
      <c r="D10" s="25" cm="1">
        <f t="array" ref="D10">_xlfn.IFS(Main!C12=0,'A - 32,36,38,41 geschlossen'!D17,Main!C12=1,'A - 32,36,38,41 geschlossen'!D18)</f>
        <v>55</v>
      </c>
      <c r="E10" s="25" cm="1">
        <f t="array" ref="E10">_xlfn.IFS(Main!C12=0,'A - 32,36,38,41 geschlossen'!E17,Main!C12=1,'A - 32,36,38,41 geschlossen'!E18)</f>
        <v>57</v>
      </c>
      <c r="F10" s="25" cm="1">
        <f t="array" ref="F10">_xlfn.IFS(Main!C12=0,'A - 32,36,38,41 geschlossen'!F17,Main!C12=1,'A - 32,36,38,41 geschlossen'!F18)</f>
        <v>60</v>
      </c>
      <c r="G10" s="25" cm="1">
        <f t="array" ref="G10">_xlfn.IFS(Main!C12=0,'A - 32,36,38,41 geschlossen'!G17,Main!C12=1,'A - 32,36,38,41 geschlossen'!G18)</f>
        <v>80</v>
      </c>
      <c r="H10" s="25" cm="1">
        <f t="array" ref="H10">_xlfn.IFS(Main!C12=0,'A - 32,36,38,41 geschlossen'!H17,Main!C12=1,'A - 32,36,38,41 geschlossen'!H18)</f>
        <v>80</v>
      </c>
      <c r="I10" s="25" cm="1">
        <f t="array" ref="I10">_xlfn.IFS(Main!C12=0,'A - 32,36,38,41 geschlossen'!I17,Main!C12=1,'A - 32,36,38,41 geschlossen'!I18)</f>
        <v>90</v>
      </c>
      <c r="J10" s="25" cm="1">
        <f t="array" ref="J10">_xlfn.IFS(Main!C12=0,'A - 32,36,38,41 geschlossen'!J17,Main!C12=1,'A - 32,36,38,41 geschlossen'!J18)</f>
        <v>90</v>
      </c>
      <c r="K10" s="25" cm="1">
        <f t="array" ref="K10">_xlfn.IFS(Main!C12=0,'A - 32,36,38,41 geschlossen'!K17,Main!C12=1,'A - 32,36,38,41 geschlossen'!K18)</f>
        <v>90</v>
      </c>
      <c r="L10" s="25" cm="1">
        <f t="array" ref="L10">_xlfn.IFS(Main!C12=0,'A - 32,36,38,41 geschlossen'!L17,Main!C12=1,'A - 32,36,38,41 geschlossen'!L18)</f>
        <v>90</v>
      </c>
      <c r="M10" s="25" cm="1">
        <f t="array" ref="M10">_xlfn.IFS(Main!C12=0,'A - 32,36,38,41 geschlossen'!M17,Main!C12=1,'A - 32,36,38,41 geschlossen'!M18)</f>
        <v>95</v>
      </c>
      <c r="N10" s="25" cm="1">
        <f t="array" ref="N10">_xlfn.IFS(Main!C12=0,'A - 32,36,38,41 geschlossen'!N17,Main!C12=1,'A - 32,36,38,41 geschlossen'!N18)</f>
        <v>95</v>
      </c>
      <c r="O10" s="25" cm="1">
        <f t="array" ref="O10">_xlfn.IFS(Main!C12=0,'A - 32,36,38,41 geschlossen'!O17,Main!C12=1,'A - 32,36,38,41 geschlossen'!O18)</f>
        <v>95</v>
      </c>
      <c r="P10" s="25" cm="1">
        <f t="array" ref="P10">_xlfn.IFS(Main!C12=0,'A - 32,36,38,41 geschlossen'!P17,Main!C12=1,'A - 32,36,38,41 geschlossen'!P18)</f>
        <v>95</v>
      </c>
      <c r="Q10" s="25" cm="1">
        <f t="array" ref="Q10">_xlfn.IFS(Main!C12=0,'A - 32,36,38,41 geschlossen'!Q17,Main!C12=1,'A - 32,36,38,41 geschlossen'!Q18)</f>
        <v>95</v>
      </c>
      <c r="R10" s="25" cm="1">
        <f t="array" ref="R10">_xlfn.IFS(Main!C12=0,'A - 32,36,38,41 geschlossen'!R17,Main!C12=1,'A - 32,36,38,41 geschlossen'!R18)</f>
        <v>95</v>
      </c>
      <c r="S10" s="25" cm="1">
        <f t="array" ref="S10">_xlfn.IFS(Main!C12=0,'A - 32,36,38,41 geschlossen'!S17,Main!C12=1,'A - 32,36,38,41 geschlossen'!S18)</f>
        <v>95</v>
      </c>
      <c r="T10" s="25" cm="1">
        <f t="array" ref="T10">_xlfn.IFS(Main!C12=0,'A - 32,36,38,41 geschlossen'!T17,Main!C12=1,'A - 32,36,38,41 geschlossen'!T18)</f>
        <v>95</v>
      </c>
      <c r="U10" s="25" cm="1">
        <f t="array" ref="U10">_xlfn.IFS(Main!C12=0,'A - 32,36,38,41 geschlossen'!U17,Main!C12=1,'A - 32,36,38,41 geschlossen'!U18)</f>
        <v>95</v>
      </c>
      <c r="V10" s="25" cm="1">
        <f t="array" ref="V10">_xlfn.IFS(Main!C12=0,'A - 32,36,38,41 geschlossen'!V17,Main!C12=1,'A - 32,36,38,41 geschlossen'!V18)</f>
        <v>95</v>
      </c>
      <c r="W10" s="25" cm="1">
        <f t="array" ref="W10">_xlfn.IFS(Main!C12=0,'A - 32,36,38,41 geschlossen'!W17,Main!C12=1,'A - 32,36,38,41 geschlossen'!W18)</f>
        <v>95</v>
      </c>
      <c r="X10" s="25" cm="1">
        <f t="array" ref="X10">_xlfn.IFS(Main!C12=0,'A - 32,36,38,41 geschlossen'!X17,Main!C12=1,'A - 32,36,38,41 geschlossen'!X18)</f>
        <v>95</v>
      </c>
      <c r="Y10" s="25" cm="1">
        <f t="array" ref="Y10">_xlfn.IFS(Main!C12=0,'A - 32,36,38,41 geschlossen'!Y17,Main!C12=1,'A - 32,36,38,41 geschlossen'!Y18)</f>
        <v>95</v>
      </c>
      <c r="Z10" s="25" cm="1">
        <f t="array" ref="Z10">_xlfn.IFS(Main!C12=0,'A - 32,36,38,41 geschlossen'!Z17,Main!C12=1,'A - 32,36,38,41 geschlossen'!Z18)</f>
        <v>95</v>
      </c>
      <c r="AA10" s="25" cm="1">
        <f t="array" ref="AA10">_xlfn.IFS(Main!C12=0,'A - 32,36,38,41 geschlossen'!AA17,Main!C12=1,'A - 32,36,38,41 geschlossen'!AA18)</f>
        <v>95</v>
      </c>
      <c r="AB10" s="25" cm="1">
        <f t="array" ref="AB10">_xlfn.IFS(Main!C12=0,'A - 32,36,38,41 geschlossen'!AB17,Main!C12=1,'A - 32,36,38,41 geschlossen'!AB18)</f>
        <v>95</v>
      </c>
      <c r="AC10" s="25" cm="1">
        <f t="array" ref="AC10">_xlfn.IFS(Main!C12=0,'A - 32,36,38,41 geschlossen'!AC17,Main!C12=1,'A - 32,36,38,41 geschlossen'!AC18)</f>
        <v>95</v>
      </c>
      <c r="AD10" s="25" cm="1">
        <f t="array" ref="AD10">_xlfn.IFS(Main!C12=0,'A - 32,36,38,41 geschlossen'!AD17,Main!C12=1,'A - 32,36,38,41 geschlossen'!AD18)</f>
        <v>95</v>
      </c>
      <c r="AE10" s="25" cm="1">
        <f t="array" ref="AE10">_xlfn.IFS(Main!C12=0,'A - 32,36,38,41 geschlossen'!AE17,Main!C12=1,'A - 32,36,38,41 geschlossen'!AE18)</f>
        <v>95</v>
      </c>
      <c r="AF10" s="25" cm="1">
        <f t="array" ref="AF10">_xlfn.IFS(Main!C12=0,'A - 32,36,38,41 geschlossen'!AF17,Main!C12=1,'A - 32,36,38,41 geschlossen'!AF18)</f>
        <v>95</v>
      </c>
      <c r="AG10" s="25" cm="1">
        <f t="array" ref="AG10">_xlfn.IFS(Main!C12=0,'A - 32,36,38,41 geschlossen'!AG17,Main!C12=1,'A - 32,36,38,41 geschlossen'!AG18)</f>
        <v>95</v>
      </c>
      <c r="AH10" s="25" cm="1">
        <f t="array" ref="AH10">_xlfn.IFS(Main!C12=0,'A - 32,36,38,41 geschlossen'!AH17,Main!C12=1,'A - 32,36,38,41 geschlossen'!AH18)</f>
        <v>95</v>
      </c>
      <c r="AI10" s="25" cm="1">
        <f t="array" ref="AI10">_xlfn.IFS(Main!C12=0,'A - 32,36,38,41 geschlossen'!AI17,Main!C12=1,'A - 32,36,38,41 geschlossen'!AI18)</f>
        <v>95</v>
      </c>
    </row>
    <row r="11" spans="1:37" x14ac:dyDescent="0.3">
      <c r="A11" s="10" t="s">
        <v>65</v>
      </c>
      <c r="B11" s="9" t="s">
        <v>13</v>
      </c>
      <c r="C11" s="14">
        <f>C9-C10</f>
        <v>82.800000000000011</v>
      </c>
      <c r="D11" s="14">
        <f t="shared" ref="D11:F11" si="21">D9-D10</f>
        <v>83.1</v>
      </c>
      <c r="E11" s="14">
        <f t="shared" si="21"/>
        <v>81.099999999999994</v>
      </c>
      <c r="F11" s="14">
        <f t="shared" si="21"/>
        <v>87.1</v>
      </c>
      <c r="G11" s="14">
        <f t="shared" ref="G11" si="22">G9-G10</f>
        <v>52.800000000000011</v>
      </c>
      <c r="H11" s="14">
        <f t="shared" ref="H11:I11" si="23">H9-H10</f>
        <v>52.800000000000011</v>
      </c>
      <c r="I11" s="14">
        <f t="shared" si="23"/>
        <v>52.800000000000011</v>
      </c>
      <c r="J11" s="14">
        <f t="shared" ref="J11" si="24">J9-J10</f>
        <v>52.800000000000011</v>
      </c>
      <c r="K11" s="14">
        <f t="shared" ref="K11:L11" si="25">K9-K10</f>
        <v>52.800000000000011</v>
      </c>
      <c r="L11" s="14">
        <f t="shared" si="25"/>
        <v>57.099999999999994</v>
      </c>
      <c r="M11" s="14">
        <f t="shared" ref="M11" si="26">M9-M10</f>
        <v>52.099999999999994</v>
      </c>
      <c r="N11" s="14">
        <f t="shared" ref="N11:O11" si="27">N9-N10</f>
        <v>52.099999999999994</v>
      </c>
      <c r="O11" s="14">
        <f t="shared" si="27"/>
        <v>52.099999999999994</v>
      </c>
      <c r="P11" s="14">
        <f t="shared" ref="P11" si="28">P9-P10</f>
        <v>52.099999999999994</v>
      </c>
      <c r="Q11" s="14">
        <f t="shared" ref="Q11:R11" si="29">Q9-Q10</f>
        <v>52.099999999999994</v>
      </c>
      <c r="R11" s="14">
        <f t="shared" si="29"/>
        <v>52.099999999999994</v>
      </c>
      <c r="S11" s="14">
        <f>S9-S10</f>
        <v>52.099999999999994</v>
      </c>
      <c r="T11" s="14">
        <f>T9-T10</f>
        <v>52.099999999999994</v>
      </c>
      <c r="U11" s="14">
        <f t="shared" ref="U11:V11" si="30">U9-U10</f>
        <v>52.099999999999994</v>
      </c>
      <c r="V11" s="14">
        <f t="shared" si="30"/>
        <v>55.900000000000006</v>
      </c>
      <c r="W11" s="14">
        <f t="shared" ref="W11" si="31">W9-W10</f>
        <v>55.900000000000006</v>
      </c>
      <c r="X11" s="14">
        <f t="shared" ref="X11:Y11" si="32">X9-X10</f>
        <v>55.900000000000006</v>
      </c>
      <c r="Y11" s="14">
        <f t="shared" si="32"/>
        <v>55.900000000000006</v>
      </c>
      <c r="Z11" s="14">
        <f t="shared" ref="Z11" si="33">Z9-Z10</f>
        <v>55.900000000000006</v>
      </c>
      <c r="AA11" s="14">
        <f t="shared" ref="AA11:AB11" si="34">AA9-AA10</f>
        <v>55.900000000000006</v>
      </c>
      <c r="AB11" s="14">
        <f t="shared" si="34"/>
        <v>55.900000000000006</v>
      </c>
      <c r="AC11" s="14">
        <f t="shared" ref="AC11" si="35">AC9-AC10</f>
        <v>55.900000000000006</v>
      </c>
      <c r="AD11" s="14">
        <f t="shared" ref="AD11:AE11" si="36">AD9-AD10</f>
        <v>55.900000000000006</v>
      </c>
      <c r="AE11" s="14">
        <f t="shared" si="36"/>
        <v>55.900000000000006</v>
      </c>
      <c r="AF11" s="14">
        <f>AF9-AF10</f>
        <v>55.900000000000006</v>
      </c>
      <c r="AG11" s="14">
        <f t="shared" ref="AG11" si="37">AG9-AG10</f>
        <v>55.900000000000006</v>
      </c>
      <c r="AH11" s="14">
        <f t="shared" ref="AH11" si="38">AH9-AH10</f>
        <v>55.900000000000006</v>
      </c>
      <c r="AI11" s="15">
        <f t="shared" ref="AI11" si="39">AI9-AI10</f>
        <v>55.900000000000006</v>
      </c>
    </row>
    <row r="12" spans="1:37" x14ac:dyDescent="0.3">
      <c r="A12" s="10" t="s">
        <v>71</v>
      </c>
      <c r="B12" s="9" t="s">
        <v>67</v>
      </c>
      <c r="C12" s="1">
        <v>459</v>
      </c>
      <c r="D12" s="1">
        <v>459</v>
      </c>
      <c r="E12" s="1">
        <v>459</v>
      </c>
      <c r="F12" s="1">
        <v>459</v>
      </c>
      <c r="G12" s="1">
        <v>459</v>
      </c>
      <c r="H12" s="1">
        <v>459</v>
      </c>
      <c r="I12" s="1">
        <v>459</v>
      </c>
      <c r="J12" s="1">
        <v>459</v>
      </c>
      <c r="K12" s="1">
        <v>459</v>
      </c>
      <c r="L12" s="1">
        <v>459</v>
      </c>
      <c r="M12" s="1">
        <v>459</v>
      </c>
      <c r="N12" s="1">
        <v>459</v>
      </c>
      <c r="O12" s="1">
        <v>459</v>
      </c>
      <c r="P12" s="1">
        <v>459</v>
      </c>
      <c r="Q12" s="1">
        <v>459</v>
      </c>
      <c r="R12" s="1">
        <v>459</v>
      </c>
      <c r="S12" s="1">
        <v>459</v>
      </c>
      <c r="T12" s="1">
        <v>459</v>
      </c>
      <c r="U12" s="1">
        <v>459</v>
      </c>
      <c r="V12" s="1">
        <v>459</v>
      </c>
      <c r="W12" s="1">
        <v>459</v>
      </c>
      <c r="X12" s="1">
        <v>459</v>
      </c>
      <c r="Y12" s="1">
        <v>459</v>
      </c>
      <c r="Z12" s="1">
        <v>459</v>
      </c>
      <c r="AA12" s="1">
        <v>459</v>
      </c>
      <c r="AB12" s="1">
        <v>459</v>
      </c>
      <c r="AC12" s="1">
        <v>459</v>
      </c>
      <c r="AD12" s="1">
        <v>459</v>
      </c>
      <c r="AE12" s="1">
        <v>459</v>
      </c>
      <c r="AF12" s="1">
        <v>459</v>
      </c>
      <c r="AG12" s="1">
        <v>459</v>
      </c>
      <c r="AH12" s="1">
        <v>459</v>
      </c>
      <c r="AI12" s="1">
        <v>459</v>
      </c>
    </row>
    <row r="13" spans="1:37" x14ac:dyDescent="0.3">
      <c r="A13" s="10"/>
      <c r="B13" s="9" t="s">
        <v>9</v>
      </c>
      <c r="C13" s="1">
        <f>C11*C12</f>
        <v>38005.200000000004</v>
      </c>
      <c r="D13" s="1">
        <f>D11*D12</f>
        <v>38142.899999999994</v>
      </c>
      <c r="E13" s="1">
        <f t="shared" ref="E13:R13" si="40">E11*E12</f>
        <v>37224.899999999994</v>
      </c>
      <c r="F13" s="1">
        <f t="shared" si="40"/>
        <v>39978.899999999994</v>
      </c>
      <c r="G13" s="1">
        <f t="shared" si="40"/>
        <v>24235.200000000004</v>
      </c>
      <c r="H13" s="1">
        <f t="shared" si="40"/>
        <v>24235.200000000004</v>
      </c>
      <c r="I13" s="1">
        <f t="shared" si="40"/>
        <v>24235.200000000004</v>
      </c>
      <c r="J13" s="1">
        <f t="shared" si="40"/>
        <v>24235.200000000004</v>
      </c>
      <c r="K13" s="1">
        <f t="shared" si="40"/>
        <v>24235.200000000004</v>
      </c>
      <c r="L13" s="1">
        <f t="shared" si="40"/>
        <v>26208.899999999998</v>
      </c>
      <c r="M13" s="1">
        <f t="shared" si="40"/>
        <v>23913.899999999998</v>
      </c>
      <c r="N13" s="1">
        <f t="shared" si="40"/>
        <v>23913.899999999998</v>
      </c>
      <c r="O13" s="1">
        <f t="shared" si="40"/>
        <v>23913.899999999998</v>
      </c>
      <c r="P13" s="1">
        <f t="shared" si="40"/>
        <v>23913.899999999998</v>
      </c>
      <c r="Q13" s="1">
        <f t="shared" si="40"/>
        <v>23913.899999999998</v>
      </c>
      <c r="R13" s="1">
        <f t="shared" si="40"/>
        <v>23913.899999999998</v>
      </c>
      <c r="S13" s="1">
        <f t="shared" ref="S13:AI13" si="41">S11*S12</f>
        <v>23913.899999999998</v>
      </c>
      <c r="T13" s="1">
        <f t="shared" si="41"/>
        <v>23913.899999999998</v>
      </c>
      <c r="U13" s="1">
        <f t="shared" si="41"/>
        <v>23913.899999999998</v>
      </c>
      <c r="V13" s="1">
        <f t="shared" si="41"/>
        <v>25658.100000000002</v>
      </c>
      <c r="W13" s="1">
        <f t="shared" si="41"/>
        <v>25658.100000000002</v>
      </c>
      <c r="X13" s="1">
        <f t="shared" si="41"/>
        <v>25658.100000000002</v>
      </c>
      <c r="Y13" s="1">
        <f t="shared" si="41"/>
        <v>25658.100000000002</v>
      </c>
      <c r="Z13" s="1">
        <f t="shared" si="41"/>
        <v>25658.100000000002</v>
      </c>
      <c r="AA13" s="1">
        <f t="shared" si="41"/>
        <v>25658.100000000002</v>
      </c>
      <c r="AB13" s="1">
        <f t="shared" si="41"/>
        <v>25658.100000000002</v>
      </c>
      <c r="AC13" s="1">
        <f t="shared" si="41"/>
        <v>25658.100000000002</v>
      </c>
      <c r="AD13" s="1">
        <f t="shared" si="41"/>
        <v>25658.100000000002</v>
      </c>
      <c r="AE13" s="1">
        <f t="shared" si="41"/>
        <v>25658.100000000002</v>
      </c>
      <c r="AF13" s="1">
        <f t="shared" si="41"/>
        <v>25658.100000000002</v>
      </c>
      <c r="AG13" s="1">
        <f t="shared" si="41"/>
        <v>25658.100000000002</v>
      </c>
      <c r="AH13" s="1">
        <f t="shared" si="41"/>
        <v>25658.100000000002</v>
      </c>
      <c r="AI13" s="21">
        <f t="shared" si="41"/>
        <v>25658.100000000002</v>
      </c>
    </row>
    <row r="14" spans="1:37" x14ac:dyDescent="0.3">
      <c r="A14" s="11" t="s">
        <v>66</v>
      </c>
      <c r="B14" s="12" t="s">
        <v>17</v>
      </c>
      <c r="C14" s="19">
        <f>C7*C13/1000000</f>
        <v>1.0961586658308702</v>
      </c>
      <c r="D14" s="19">
        <f t="shared" ref="D14:R14" si="42">D7*D13/1000000</f>
        <v>1.3259848109030969</v>
      </c>
      <c r="E14" s="19">
        <f t="shared" si="42"/>
        <v>1.2940718190642739</v>
      </c>
      <c r="F14" s="19">
        <f t="shared" si="42"/>
        <v>1.389810794580743</v>
      </c>
      <c r="G14" s="19">
        <f t="shared" si="42"/>
        <v>0.84250298454492833</v>
      </c>
      <c r="H14" s="19">
        <f t="shared" si="42"/>
        <v>0.84250298454492833</v>
      </c>
      <c r="I14" s="19">
        <f t="shared" si="42"/>
        <v>0.84250298454492833</v>
      </c>
      <c r="J14" s="19">
        <f t="shared" si="42"/>
        <v>0.84250298454492833</v>
      </c>
      <c r="K14" s="19">
        <f t="shared" si="42"/>
        <v>0.84250298454492833</v>
      </c>
      <c r="L14" s="19">
        <f t="shared" si="42"/>
        <v>0.91111591699839767</v>
      </c>
      <c r="M14" s="19">
        <f t="shared" si="42"/>
        <v>0.83133343740134003</v>
      </c>
      <c r="N14" s="19">
        <f t="shared" si="42"/>
        <v>0.83133343740134003</v>
      </c>
      <c r="O14" s="19">
        <f t="shared" si="42"/>
        <v>0.83133343740134003</v>
      </c>
      <c r="P14" s="19">
        <f t="shared" si="42"/>
        <v>0.83133343740134003</v>
      </c>
      <c r="Q14" s="19">
        <f t="shared" si="42"/>
        <v>0.83133343740134003</v>
      </c>
      <c r="R14" s="19">
        <f t="shared" si="42"/>
        <v>0.83133343740134003</v>
      </c>
      <c r="S14" s="19">
        <f t="shared" ref="S14:AI14" si="43">S7*S13/1000000</f>
        <v>0.83133343740134003</v>
      </c>
      <c r="T14" s="19">
        <f t="shared" si="43"/>
        <v>0.83133343740134003</v>
      </c>
      <c r="U14" s="19">
        <f t="shared" si="43"/>
        <v>0.83133343740134003</v>
      </c>
      <c r="V14" s="19">
        <f t="shared" si="43"/>
        <v>0.89196812189510399</v>
      </c>
      <c r="W14" s="19">
        <f t="shared" si="43"/>
        <v>0.89196812189510399</v>
      </c>
      <c r="X14" s="19">
        <f t="shared" si="43"/>
        <v>0.89196812189510399</v>
      </c>
      <c r="Y14" s="19">
        <f t="shared" si="43"/>
        <v>0.89196812189510399</v>
      </c>
      <c r="Z14" s="19">
        <f t="shared" si="43"/>
        <v>0</v>
      </c>
      <c r="AA14" s="19">
        <f t="shared" si="43"/>
        <v>0.89196812189510399</v>
      </c>
      <c r="AB14" s="19">
        <f t="shared" si="43"/>
        <v>0.89196812189510399</v>
      </c>
      <c r="AC14" s="19">
        <f t="shared" si="43"/>
        <v>0.89196812189510399</v>
      </c>
      <c r="AD14" s="19">
        <f t="shared" si="43"/>
        <v>0</v>
      </c>
      <c r="AE14" s="19">
        <f t="shared" si="43"/>
        <v>0.89196812189510399</v>
      </c>
      <c r="AF14" s="19">
        <f t="shared" si="43"/>
        <v>0</v>
      </c>
      <c r="AG14" s="19">
        <f t="shared" si="43"/>
        <v>0.89196812189510399</v>
      </c>
      <c r="AH14" s="19">
        <f t="shared" si="43"/>
        <v>0.89196812189510399</v>
      </c>
      <c r="AI14" s="20">
        <f t="shared" si="43"/>
        <v>0</v>
      </c>
      <c r="AJ14" s="13">
        <f>SUM(C14:AI14)</f>
        <v>26.631339085665132</v>
      </c>
      <c r="AK14" s="8" t="s">
        <v>17</v>
      </c>
    </row>
    <row r="15" spans="1:37" x14ac:dyDescent="0.3">
      <c r="A15" s="4"/>
      <c r="B15" s="9" t="s">
        <v>84</v>
      </c>
      <c r="C15" s="16">
        <v>2.2999999999999998</v>
      </c>
      <c r="D15" s="16">
        <v>2.5</v>
      </c>
      <c r="E15" s="16">
        <v>2.7</v>
      </c>
      <c r="F15" s="16">
        <v>3.5</v>
      </c>
    </row>
    <row r="16" spans="1:37" x14ac:dyDescent="0.3">
      <c r="A16" s="6" t="s">
        <v>27</v>
      </c>
      <c r="B16" s="9" t="s">
        <v>85</v>
      </c>
      <c r="C16" s="4">
        <v>6.5</v>
      </c>
      <c r="D16" s="4">
        <v>6.5</v>
      </c>
      <c r="E16" s="4">
        <v>6.5</v>
      </c>
      <c r="F16" s="16">
        <f>G8-0.5</f>
        <v>1.9999999999999996</v>
      </c>
    </row>
    <row r="17" spans="1:35" x14ac:dyDescent="0.3">
      <c r="A17" s="3"/>
      <c r="B17" s="9" t="s">
        <v>84</v>
      </c>
      <c r="C17" s="5">
        <v>50</v>
      </c>
      <c r="D17" s="5">
        <v>55</v>
      </c>
      <c r="E17" s="5">
        <v>57</v>
      </c>
      <c r="F17" s="5">
        <v>60</v>
      </c>
      <c r="G17" s="5">
        <v>80</v>
      </c>
      <c r="H17" s="5">
        <v>80</v>
      </c>
      <c r="I17" s="5">
        <v>90</v>
      </c>
      <c r="J17" s="5">
        <v>90</v>
      </c>
      <c r="K17" s="5">
        <v>90</v>
      </c>
      <c r="L17" s="5">
        <v>90</v>
      </c>
      <c r="M17" s="5">
        <v>95</v>
      </c>
      <c r="N17" s="5">
        <v>95</v>
      </c>
      <c r="O17" s="5">
        <v>95</v>
      </c>
      <c r="P17" s="5">
        <v>95</v>
      </c>
      <c r="Q17" s="5">
        <v>95</v>
      </c>
      <c r="R17" s="5">
        <v>95</v>
      </c>
      <c r="S17" s="5">
        <v>95</v>
      </c>
      <c r="T17" s="5">
        <v>95</v>
      </c>
      <c r="U17" s="5">
        <v>95</v>
      </c>
      <c r="V17" s="5">
        <v>95</v>
      </c>
      <c r="W17" s="5">
        <v>95</v>
      </c>
      <c r="X17" s="5">
        <v>95</v>
      </c>
      <c r="Y17" s="5">
        <v>95</v>
      </c>
      <c r="Z17" s="5">
        <v>95</v>
      </c>
      <c r="AA17" s="5">
        <v>95</v>
      </c>
      <c r="AB17" s="5">
        <v>95</v>
      </c>
      <c r="AC17" s="5">
        <v>95</v>
      </c>
      <c r="AD17" s="5">
        <v>95</v>
      </c>
      <c r="AE17" s="5">
        <v>95</v>
      </c>
      <c r="AF17" s="5">
        <v>95</v>
      </c>
      <c r="AG17" s="5">
        <v>95</v>
      </c>
      <c r="AH17" s="5">
        <v>95</v>
      </c>
      <c r="AI17" s="5">
        <v>95</v>
      </c>
    </row>
    <row r="18" spans="1:35" x14ac:dyDescent="0.3">
      <c r="A18" t="s">
        <v>73</v>
      </c>
      <c r="B18" s="9" t="s">
        <v>85</v>
      </c>
      <c r="C18" s="4">
        <v>65</v>
      </c>
      <c r="D18" s="4">
        <v>80</v>
      </c>
      <c r="E18" s="4">
        <v>95</v>
      </c>
      <c r="F18" s="4">
        <v>80</v>
      </c>
      <c r="G18" s="4">
        <v>75</v>
      </c>
      <c r="H18" s="4">
        <v>80</v>
      </c>
      <c r="I18" s="4">
        <v>80</v>
      </c>
      <c r="J18" s="4">
        <v>80</v>
      </c>
      <c r="K18" s="4">
        <v>85</v>
      </c>
      <c r="L18" s="4">
        <v>85</v>
      </c>
      <c r="M18" s="4">
        <v>85</v>
      </c>
      <c r="N18" s="4">
        <v>85</v>
      </c>
      <c r="O18" s="4">
        <v>85</v>
      </c>
      <c r="P18" s="4">
        <v>85</v>
      </c>
      <c r="Q18" s="4">
        <v>85</v>
      </c>
      <c r="R18" s="4">
        <v>85</v>
      </c>
      <c r="S18" s="4">
        <v>85</v>
      </c>
      <c r="T18" s="4">
        <v>85</v>
      </c>
      <c r="U18" s="4">
        <v>85</v>
      </c>
      <c r="V18" s="4">
        <v>85</v>
      </c>
      <c r="W18" s="4">
        <v>95</v>
      </c>
      <c r="X18" s="4">
        <v>95</v>
      </c>
      <c r="Y18" s="4">
        <v>95</v>
      </c>
      <c r="Z18" s="4">
        <v>95</v>
      </c>
      <c r="AA18" s="4">
        <v>95</v>
      </c>
      <c r="AB18" s="4">
        <v>95</v>
      </c>
      <c r="AC18" s="4">
        <v>95</v>
      </c>
      <c r="AD18" s="4">
        <v>95</v>
      </c>
      <c r="AE18" s="4">
        <v>95</v>
      </c>
      <c r="AF18" s="4">
        <v>95</v>
      </c>
      <c r="AG18" s="4">
        <v>95</v>
      </c>
      <c r="AH18" s="4">
        <v>95</v>
      </c>
      <c r="AI18" s="4">
        <v>95</v>
      </c>
    </row>
    <row r="19" spans="1:35" x14ac:dyDescent="0.3">
      <c r="C19" s="1">
        <v>1</v>
      </c>
      <c r="D19" s="1">
        <v>3</v>
      </c>
      <c r="E19" s="1">
        <v>5</v>
      </c>
      <c r="F19" s="1">
        <v>7</v>
      </c>
      <c r="G19" s="1">
        <v>9</v>
      </c>
      <c r="H19" s="1">
        <v>11</v>
      </c>
      <c r="I19" s="1">
        <v>13</v>
      </c>
      <c r="J19" s="1">
        <v>15</v>
      </c>
      <c r="K19" s="1">
        <v>17</v>
      </c>
      <c r="L19" s="1">
        <v>18</v>
      </c>
      <c r="M19" s="1">
        <v>19</v>
      </c>
      <c r="N19" s="1">
        <v>20</v>
      </c>
      <c r="O19" s="1">
        <v>21</v>
      </c>
      <c r="P19" s="1">
        <v>22</v>
      </c>
      <c r="Q19" s="1">
        <v>23</v>
      </c>
      <c r="R19" s="1">
        <v>24</v>
      </c>
      <c r="S19" s="1">
        <v>25</v>
      </c>
      <c r="T19" s="1">
        <v>26</v>
      </c>
      <c r="U19" s="1">
        <v>27</v>
      </c>
      <c r="V19" s="1">
        <v>28</v>
      </c>
      <c r="W19" s="1">
        <v>29</v>
      </c>
      <c r="X19" s="1">
        <v>30</v>
      </c>
      <c r="Y19" s="1">
        <v>31</v>
      </c>
      <c r="Z19" s="1">
        <v>32</v>
      </c>
      <c r="AA19" s="1">
        <v>33</v>
      </c>
      <c r="AB19" s="1">
        <v>34</v>
      </c>
      <c r="AC19" s="1">
        <v>35</v>
      </c>
      <c r="AD19" s="1">
        <v>36</v>
      </c>
      <c r="AE19" s="1">
        <v>37</v>
      </c>
      <c r="AF19" s="1">
        <v>38</v>
      </c>
      <c r="AG19" s="1">
        <v>39</v>
      </c>
      <c r="AH19" s="1">
        <v>40</v>
      </c>
      <c r="AI19" s="23">
        <v>41</v>
      </c>
    </row>
  </sheetData>
  <mergeCells count="1">
    <mergeCell ref="A1:A2"/>
  </mergeCells>
  <pageMargins left="0.7" right="0.7" top="0.78740157499999996" bottom="0.78740157499999996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3756-5799-4DC3-A6D0-2A29777D4232}">
  <sheetPr>
    <tabColor rgb="FFFFFF00"/>
  </sheetPr>
  <dimension ref="A1:AK19"/>
  <sheetViews>
    <sheetView topLeftCell="AB1" workbookViewId="0">
      <selection activeCell="X19" sqref="X19"/>
    </sheetView>
  </sheetViews>
  <sheetFormatPr baseColWidth="10" defaultRowHeight="14.4" x14ac:dyDescent="0.3"/>
  <sheetData>
    <row r="1" spans="1:37" x14ac:dyDescent="0.3">
      <c r="A1" s="108" t="s">
        <v>47</v>
      </c>
    </row>
    <row r="2" spans="1:37" x14ac:dyDescent="0.3">
      <c r="A2" s="109"/>
      <c r="B2" s="7" t="s">
        <v>54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7" x14ac:dyDescent="0.3">
      <c r="A3" s="10" t="s">
        <v>49</v>
      </c>
      <c r="B3" s="6" t="s">
        <v>72</v>
      </c>
      <c r="C3" s="1">
        <v>1</v>
      </c>
      <c r="D3" s="1">
        <v>3</v>
      </c>
      <c r="E3" s="1">
        <v>5</v>
      </c>
      <c r="F3" s="1">
        <v>7</v>
      </c>
      <c r="G3" s="1">
        <v>9</v>
      </c>
      <c r="H3" s="1">
        <v>11</v>
      </c>
      <c r="I3" s="1">
        <v>13</v>
      </c>
      <c r="J3" s="1">
        <v>15</v>
      </c>
      <c r="K3" s="1">
        <v>17</v>
      </c>
      <c r="L3" s="1">
        <v>18</v>
      </c>
      <c r="M3" s="1">
        <v>19</v>
      </c>
      <c r="N3" s="1">
        <v>20</v>
      </c>
      <c r="O3" s="1">
        <v>21</v>
      </c>
      <c r="P3" s="1">
        <v>22</v>
      </c>
      <c r="Q3" s="1">
        <v>23</v>
      </c>
      <c r="R3" s="1">
        <v>24</v>
      </c>
      <c r="S3" s="1">
        <v>25</v>
      </c>
      <c r="T3" s="1">
        <v>26</v>
      </c>
      <c r="U3" s="1">
        <v>27</v>
      </c>
      <c r="V3" s="1">
        <v>28</v>
      </c>
      <c r="W3" s="1">
        <v>29</v>
      </c>
      <c r="X3" s="1">
        <v>30</v>
      </c>
      <c r="Y3" s="1">
        <v>31</v>
      </c>
      <c r="Z3" s="1">
        <v>32</v>
      </c>
      <c r="AA3" s="1">
        <v>33</v>
      </c>
      <c r="AB3" s="1">
        <v>34</v>
      </c>
      <c r="AC3" s="1">
        <v>35</v>
      </c>
      <c r="AD3" s="1">
        <v>36</v>
      </c>
      <c r="AE3" s="1">
        <v>37</v>
      </c>
      <c r="AF3" s="1">
        <v>38</v>
      </c>
      <c r="AG3" s="1">
        <v>39</v>
      </c>
      <c r="AH3" s="1">
        <v>40</v>
      </c>
      <c r="AI3" s="23">
        <v>41</v>
      </c>
      <c r="AJ3" s="2">
        <f>COUNT(C3:AI3)</f>
        <v>33</v>
      </c>
      <c r="AK3" t="s">
        <v>49</v>
      </c>
    </row>
    <row r="4" spans="1:37" x14ac:dyDescent="0.3">
      <c r="A4" s="10" t="s">
        <v>50</v>
      </c>
      <c r="B4" s="9" t="s">
        <v>42</v>
      </c>
      <c r="C4" s="14">
        <v>1.51</v>
      </c>
      <c r="D4" s="14">
        <v>1.82</v>
      </c>
      <c r="E4" s="14">
        <v>1.82</v>
      </c>
      <c r="F4" s="14">
        <v>1.82</v>
      </c>
      <c r="G4" s="14">
        <v>1.82</v>
      </c>
      <c r="H4" s="14">
        <v>1.82</v>
      </c>
      <c r="I4" s="14">
        <v>1.82</v>
      </c>
      <c r="J4" s="14">
        <v>1.82</v>
      </c>
      <c r="K4" s="14">
        <v>1.82</v>
      </c>
      <c r="L4" s="14">
        <v>1.82</v>
      </c>
      <c r="M4" s="14">
        <v>1.82</v>
      </c>
      <c r="N4" s="14">
        <v>1.82</v>
      </c>
      <c r="O4" s="14">
        <v>1.82</v>
      </c>
      <c r="P4" s="14">
        <v>1.82</v>
      </c>
      <c r="Q4" s="14">
        <v>1.82</v>
      </c>
      <c r="R4" s="14">
        <v>1.82</v>
      </c>
      <c r="S4" s="14">
        <v>1.82</v>
      </c>
      <c r="T4" s="14">
        <v>1.82</v>
      </c>
      <c r="U4" s="14">
        <v>1.82</v>
      </c>
      <c r="V4" s="14">
        <v>1.82</v>
      </c>
      <c r="W4" s="14">
        <v>1.82</v>
      </c>
      <c r="X4" s="14">
        <v>1.82</v>
      </c>
      <c r="Y4" s="14">
        <v>1.82</v>
      </c>
      <c r="Z4" s="14">
        <v>1.82</v>
      </c>
      <c r="AA4" s="14">
        <v>1.82</v>
      </c>
      <c r="AB4" s="14">
        <v>1.82</v>
      </c>
      <c r="AC4" s="14">
        <v>1.82</v>
      </c>
      <c r="AD4" s="14">
        <v>1.82</v>
      </c>
      <c r="AE4" s="14">
        <v>1.82</v>
      </c>
      <c r="AF4" s="14">
        <v>1.82</v>
      </c>
      <c r="AG4" s="14">
        <v>1.82</v>
      </c>
      <c r="AH4" s="14">
        <v>1.82</v>
      </c>
      <c r="AI4" s="15">
        <v>1.82</v>
      </c>
    </row>
    <row r="5" spans="1:37" x14ac:dyDescent="0.3">
      <c r="A5" s="10" t="s">
        <v>51</v>
      </c>
      <c r="B5" s="9" t="s">
        <v>33</v>
      </c>
      <c r="C5" s="5">
        <v>80</v>
      </c>
      <c r="D5" s="5">
        <v>80</v>
      </c>
      <c r="E5" s="5">
        <v>80</v>
      </c>
      <c r="F5" s="5">
        <v>80</v>
      </c>
      <c r="G5" s="5">
        <v>80</v>
      </c>
      <c r="H5" s="5">
        <v>80</v>
      </c>
      <c r="I5" s="5">
        <v>80</v>
      </c>
      <c r="J5" s="5">
        <v>80</v>
      </c>
      <c r="K5" s="5">
        <v>80</v>
      </c>
      <c r="L5" s="5">
        <v>80</v>
      </c>
      <c r="M5" s="5">
        <v>80</v>
      </c>
      <c r="N5" s="5">
        <v>80</v>
      </c>
      <c r="O5" s="5">
        <v>80</v>
      </c>
      <c r="P5" s="5">
        <v>80</v>
      </c>
      <c r="Q5" s="5">
        <v>80</v>
      </c>
      <c r="R5" s="5">
        <v>80</v>
      </c>
      <c r="S5" s="5">
        <v>80</v>
      </c>
      <c r="T5" s="5">
        <v>80</v>
      </c>
      <c r="U5" s="5">
        <v>80</v>
      </c>
      <c r="V5" s="5">
        <v>80</v>
      </c>
      <c r="W5" s="5">
        <v>80</v>
      </c>
      <c r="X5" s="5">
        <v>80</v>
      </c>
      <c r="Y5" s="5">
        <v>80</v>
      </c>
      <c r="Z5" s="5">
        <v>80</v>
      </c>
      <c r="AA5" s="5">
        <v>80</v>
      </c>
      <c r="AB5" s="5">
        <v>80</v>
      </c>
      <c r="AC5" s="5">
        <v>80</v>
      </c>
      <c r="AD5" s="5">
        <v>80</v>
      </c>
      <c r="AE5" s="5">
        <v>80</v>
      </c>
      <c r="AF5" s="5">
        <v>80</v>
      </c>
      <c r="AG5" s="5">
        <v>80</v>
      </c>
      <c r="AH5" s="5">
        <v>80</v>
      </c>
      <c r="AI5" s="22">
        <v>80</v>
      </c>
    </row>
    <row r="6" spans="1:37" x14ac:dyDescent="0.3">
      <c r="A6" s="10" t="s">
        <v>52</v>
      </c>
      <c r="B6" s="9" t="s">
        <v>15</v>
      </c>
      <c r="C6" s="14">
        <f>2*PI()*7.6*(C4/2)</f>
        <v>36.052917292596469</v>
      </c>
      <c r="D6" s="14">
        <f t="shared" ref="D6:L6" si="0">2*PI()*7.6*(D4/2)</f>
        <v>43.454509584454023</v>
      </c>
      <c r="E6" s="14">
        <f t="shared" si="0"/>
        <v>43.454509584454023</v>
      </c>
      <c r="F6" s="14">
        <f t="shared" si="0"/>
        <v>43.454509584454023</v>
      </c>
      <c r="G6" s="14">
        <f t="shared" si="0"/>
        <v>43.454509584454023</v>
      </c>
      <c r="H6" s="14">
        <f t="shared" si="0"/>
        <v>43.454509584454023</v>
      </c>
      <c r="I6" s="14">
        <f t="shared" si="0"/>
        <v>43.454509584454023</v>
      </c>
      <c r="J6" s="14">
        <f t="shared" si="0"/>
        <v>43.454509584454023</v>
      </c>
      <c r="K6" s="14">
        <f t="shared" si="0"/>
        <v>43.454509584454023</v>
      </c>
      <c r="L6" s="14">
        <f t="shared" si="0"/>
        <v>43.454509584454023</v>
      </c>
      <c r="M6" s="14">
        <f t="shared" ref="M6:AI6" si="1">2*PI()*7.6*(M4/2)</f>
        <v>43.454509584454023</v>
      </c>
      <c r="N6" s="14">
        <f t="shared" si="1"/>
        <v>43.454509584454023</v>
      </c>
      <c r="O6" s="14">
        <f t="shared" si="1"/>
        <v>43.454509584454023</v>
      </c>
      <c r="P6" s="14">
        <f t="shared" si="1"/>
        <v>43.454509584454023</v>
      </c>
      <c r="Q6" s="14">
        <f t="shared" si="1"/>
        <v>43.454509584454023</v>
      </c>
      <c r="R6" s="14">
        <f t="shared" si="1"/>
        <v>43.454509584454023</v>
      </c>
      <c r="S6" s="14">
        <f t="shared" si="1"/>
        <v>43.454509584454023</v>
      </c>
      <c r="T6" s="14">
        <f t="shared" si="1"/>
        <v>43.454509584454023</v>
      </c>
      <c r="U6" s="14">
        <f t="shared" si="1"/>
        <v>43.454509584454023</v>
      </c>
      <c r="V6" s="14">
        <f t="shared" si="1"/>
        <v>43.454509584454023</v>
      </c>
      <c r="W6" s="14">
        <f t="shared" si="1"/>
        <v>43.454509584454023</v>
      </c>
      <c r="X6" s="14">
        <f t="shared" si="1"/>
        <v>43.454509584454023</v>
      </c>
      <c r="Y6" s="14">
        <f t="shared" si="1"/>
        <v>43.454509584454023</v>
      </c>
      <c r="Z6" s="14">
        <f t="shared" si="1"/>
        <v>43.454509584454023</v>
      </c>
      <c r="AA6" s="14">
        <f t="shared" si="1"/>
        <v>43.454509584454023</v>
      </c>
      <c r="AB6" s="14">
        <f t="shared" si="1"/>
        <v>43.454509584454023</v>
      </c>
      <c r="AC6" s="14">
        <f t="shared" si="1"/>
        <v>43.454509584454023</v>
      </c>
      <c r="AD6" s="14">
        <f t="shared" si="1"/>
        <v>43.454509584454023</v>
      </c>
      <c r="AE6" s="14">
        <f t="shared" si="1"/>
        <v>43.454509584454023</v>
      </c>
      <c r="AF6" s="14">
        <f t="shared" si="1"/>
        <v>43.454509584454023</v>
      </c>
      <c r="AG6" s="14">
        <f t="shared" si="1"/>
        <v>43.454509584454023</v>
      </c>
      <c r="AH6" s="14">
        <f t="shared" si="1"/>
        <v>43.454509584454023</v>
      </c>
      <c r="AI6" s="15">
        <f t="shared" si="1"/>
        <v>43.454509584454023</v>
      </c>
    </row>
    <row r="7" spans="1:37" x14ac:dyDescent="0.3">
      <c r="A7" s="10" t="s">
        <v>53</v>
      </c>
      <c r="B7" s="9" t="s">
        <v>15</v>
      </c>
      <c r="C7" s="14">
        <f>C6*C5/100</f>
        <v>28.842333834077177</v>
      </c>
      <c r="D7" s="14">
        <f>D6*D5/100</f>
        <v>34.763607667563221</v>
      </c>
      <c r="E7" s="14">
        <f t="shared" ref="E7:L7" si="2">E6*E5/100</f>
        <v>34.763607667563221</v>
      </c>
      <c r="F7" s="14">
        <f t="shared" si="2"/>
        <v>34.763607667563221</v>
      </c>
      <c r="G7" s="14">
        <f t="shared" si="2"/>
        <v>34.763607667563221</v>
      </c>
      <c r="H7" s="14">
        <f t="shared" si="2"/>
        <v>34.763607667563221</v>
      </c>
      <c r="I7" s="14">
        <f t="shared" si="2"/>
        <v>34.763607667563221</v>
      </c>
      <c r="J7" s="14">
        <f t="shared" si="2"/>
        <v>34.763607667563221</v>
      </c>
      <c r="K7" s="14">
        <f t="shared" si="2"/>
        <v>34.763607667563221</v>
      </c>
      <c r="L7" s="14">
        <f t="shared" si="2"/>
        <v>34.763607667563221</v>
      </c>
      <c r="M7" s="14">
        <f t="shared" ref="M7:R7" si="3">M6*M5/100</f>
        <v>34.763607667563221</v>
      </c>
      <c r="N7" s="14">
        <f t="shared" si="3"/>
        <v>34.763607667563221</v>
      </c>
      <c r="O7" s="14">
        <f t="shared" si="3"/>
        <v>34.763607667563221</v>
      </c>
      <c r="P7" s="14">
        <f t="shared" si="3"/>
        <v>34.763607667563221</v>
      </c>
      <c r="Q7" s="14">
        <f t="shared" si="3"/>
        <v>34.763607667563221</v>
      </c>
      <c r="R7" s="14">
        <f t="shared" si="3"/>
        <v>34.763607667563221</v>
      </c>
      <c r="S7" s="14">
        <f>S6*S5/100</f>
        <v>34.763607667563221</v>
      </c>
      <c r="T7" s="14">
        <f>T6*T5/100</f>
        <v>34.763607667563221</v>
      </c>
      <c r="U7" s="14">
        <f t="shared" ref="U7:AI7" si="4">U6*U5/100</f>
        <v>34.763607667563221</v>
      </c>
      <c r="V7" s="14">
        <f t="shared" si="4"/>
        <v>34.763607667563221</v>
      </c>
      <c r="W7" s="14">
        <f t="shared" si="4"/>
        <v>34.763607667563221</v>
      </c>
      <c r="X7" s="14">
        <f t="shared" si="4"/>
        <v>34.763607667563221</v>
      </c>
      <c r="Y7" s="14">
        <f t="shared" si="4"/>
        <v>34.763607667563221</v>
      </c>
      <c r="Z7" s="14">
        <f t="shared" si="4"/>
        <v>34.763607667563221</v>
      </c>
      <c r="AA7" s="14">
        <f t="shared" si="4"/>
        <v>34.763607667563221</v>
      </c>
      <c r="AB7" s="14">
        <f t="shared" si="4"/>
        <v>34.763607667563221</v>
      </c>
      <c r="AC7" s="14">
        <f t="shared" si="4"/>
        <v>34.763607667563221</v>
      </c>
      <c r="AD7" s="14">
        <f t="shared" si="4"/>
        <v>34.763607667563221</v>
      </c>
      <c r="AE7" s="14">
        <f t="shared" si="4"/>
        <v>34.763607667563221</v>
      </c>
      <c r="AF7" s="14">
        <f t="shared" si="4"/>
        <v>34.763607667563221</v>
      </c>
      <c r="AG7" s="14">
        <f t="shared" si="4"/>
        <v>34.763607667563221</v>
      </c>
      <c r="AH7" s="14">
        <f t="shared" si="4"/>
        <v>34.763607667563221</v>
      </c>
      <c r="AI7" s="15">
        <f t="shared" si="4"/>
        <v>34.763607667563221</v>
      </c>
      <c r="AJ7" s="13">
        <f>SUM(C7:AI7)</f>
        <v>1141.2777791961</v>
      </c>
      <c r="AK7" s="8" t="s">
        <v>15</v>
      </c>
    </row>
    <row r="8" spans="1:37" x14ac:dyDescent="0.3">
      <c r="A8" s="10" t="s">
        <v>60</v>
      </c>
      <c r="B8" s="9" t="s">
        <v>62</v>
      </c>
      <c r="C8" s="24" cm="1">
        <f t="array" ref="C8">_xlfn.IFS(Main!C12=0,'A - 32,36,38,41 geschlossen'!C15,Main!C12=1,'A - 32,36,38,41 geschlossen'!C16)</f>
        <v>2.2999999999999998</v>
      </c>
      <c r="D8" s="24" cm="1">
        <f t="array" ref="D8">_xlfn.IFS(Main!C12=0,'A - 32,36,38,41 geschlossen'!D15,Main!C12=1,'A - 32,36,38,41 geschlossen'!D16)</f>
        <v>2.5</v>
      </c>
      <c r="E8" s="24" cm="1">
        <f t="array" ref="E8">_xlfn.IFS(Main!C12=0,'A - 32,36,38,41 geschlossen'!E15,Main!C12=1,'A - 32,36,38,41 geschlossen'!E16)</f>
        <v>2.7</v>
      </c>
      <c r="F8" s="24" cm="1">
        <f t="array" ref="F8">_xlfn.IFS(Main!C12=0,'A - 32,36,38,41 geschlossen'!F15,Main!C12=1,'A - 32,36,38,41 geschlossen'!F16)</f>
        <v>3.5</v>
      </c>
      <c r="G8" s="24">
        <f>Main!C8</f>
        <v>2.4999999999999996</v>
      </c>
      <c r="H8" s="24">
        <f>Main!C8</f>
        <v>2.4999999999999996</v>
      </c>
      <c r="I8" s="24">
        <f>Main!C9</f>
        <v>3.0999999999999996</v>
      </c>
      <c r="J8" s="17">
        <f>I8</f>
        <v>3.0999999999999996</v>
      </c>
      <c r="K8" s="17">
        <f>I8</f>
        <v>3.0999999999999996</v>
      </c>
      <c r="L8" s="16">
        <v>3.5</v>
      </c>
      <c r="M8" s="24">
        <f>Main!C10</f>
        <v>3.6999999999999997</v>
      </c>
      <c r="N8" s="17">
        <f>M8</f>
        <v>3.6999999999999997</v>
      </c>
      <c r="O8" s="17">
        <f>M8</f>
        <v>3.6999999999999997</v>
      </c>
      <c r="P8" s="17">
        <f>M8</f>
        <v>3.6999999999999997</v>
      </c>
      <c r="Q8" s="17">
        <f>M8</f>
        <v>3.6999999999999997</v>
      </c>
      <c r="R8" s="17">
        <f>M8</f>
        <v>3.6999999999999997</v>
      </c>
      <c r="S8" s="17">
        <f>M8</f>
        <v>3.6999999999999997</v>
      </c>
      <c r="T8" s="17">
        <f>M8</f>
        <v>3.6999999999999997</v>
      </c>
      <c r="U8" s="17">
        <f>M8</f>
        <v>3.6999999999999997</v>
      </c>
      <c r="V8" s="24">
        <f>Main!C11</f>
        <v>4.3</v>
      </c>
      <c r="W8" s="17">
        <f>V8</f>
        <v>4.3</v>
      </c>
      <c r="X8" s="17">
        <f>V8</f>
        <v>4.3</v>
      </c>
      <c r="Y8" s="17">
        <f>V8</f>
        <v>4.3</v>
      </c>
      <c r="Z8" s="17">
        <f>V8</f>
        <v>4.3</v>
      </c>
      <c r="AA8" s="17">
        <f>V8</f>
        <v>4.3</v>
      </c>
      <c r="AB8" s="17">
        <f>V8</f>
        <v>4.3</v>
      </c>
      <c r="AC8" s="17">
        <f>V8</f>
        <v>4.3</v>
      </c>
      <c r="AD8" s="17">
        <f>V8</f>
        <v>4.3</v>
      </c>
      <c r="AE8" s="17">
        <f>V8</f>
        <v>4.3</v>
      </c>
      <c r="AF8" s="17">
        <f>V8</f>
        <v>4.3</v>
      </c>
      <c r="AG8" s="17">
        <f>V8</f>
        <v>4.3</v>
      </c>
      <c r="AH8" s="17">
        <f>V8</f>
        <v>4.3</v>
      </c>
      <c r="AI8" s="18">
        <f>V8</f>
        <v>4.3</v>
      </c>
    </row>
    <row r="9" spans="1:37" x14ac:dyDescent="0.3">
      <c r="A9" s="10" t="s">
        <v>63</v>
      </c>
      <c r="B9" s="9" t="s">
        <v>13</v>
      </c>
      <c r="C9" s="17">
        <f>_xlfn.XLOOKUP(C8,Sattdampft!A2:A20,Sattdampft!B2:B20,,-1)</f>
        <v>132.80000000000001</v>
      </c>
      <c r="D9" s="17">
        <f>_xlfn.XLOOKUP(D8,Sattdampft!A2:A20,Sattdampft!B2:B20,,-1)</f>
        <v>138.1</v>
      </c>
      <c r="E9" s="17">
        <f>_xlfn.XLOOKUP(E8,Sattdampft!A2:A20,Sattdampft!B2:B20,,-1)</f>
        <v>138.1</v>
      </c>
      <c r="F9" s="17">
        <f>_xlfn.XLOOKUP(F8,Sattdampft!A2:A20,Sattdampft!B2:B20,,-1)</f>
        <v>147.1</v>
      </c>
      <c r="G9" s="17">
        <f>_xlfn.XLOOKUP(G8,Sattdampft!A2:A20,Sattdampft!B2:B20,,-1)</f>
        <v>132.80000000000001</v>
      </c>
      <c r="H9" s="17">
        <f>_xlfn.XLOOKUP(H8,Sattdampft!A2:A20,Sattdampft!B2:B20,,-1)</f>
        <v>132.80000000000001</v>
      </c>
      <c r="I9" s="17">
        <f>_xlfn.XLOOKUP(I8,Sattdampft!A2:A20,Sattdampft!B2:B20,,-1)</f>
        <v>142.80000000000001</v>
      </c>
      <c r="J9" s="17">
        <f>_xlfn.XLOOKUP(J8,Sattdampft!A2:A20,Sattdampft!B2:B20,,-1)</f>
        <v>142.80000000000001</v>
      </c>
      <c r="K9" s="17">
        <f>_xlfn.XLOOKUP(K8,Sattdampft!A2:A20,Sattdampft!B2:B20,,-1)</f>
        <v>142.80000000000001</v>
      </c>
      <c r="L9" s="17">
        <f>_xlfn.XLOOKUP(L8,Sattdampft!A2:A20,Sattdampft!B2:B20,,-1)</f>
        <v>147.1</v>
      </c>
      <c r="M9" s="17">
        <f>_xlfn.XLOOKUP(M8,Sattdampft!A2:A20,Sattdampft!B2:B20,,-1)</f>
        <v>147.1</v>
      </c>
      <c r="N9" s="17">
        <f>_xlfn.XLOOKUP(N8,Sattdampft!A2:A20,Sattdampft!B2:B20,,-1)</f>
        <v>147.1</v>
      </c>
      <c r="O9" s="17">
        <f>_xlfn.XLOOKUP(O8,Sattdampft!A2:A20,Sattdampft!B2:B20,,-1)</f>
        <v>147.1</v>
      </c>
      <c r="P9" s="17">
        <f>_xlfn.XLOOKUP(P8,Sattdampft!A2:A20,Sattdampft!B2:B20,,-1)</f>
        <v>147.1</v>
      </c>
      <c r="Q9" s="17">
        <f>_xlfn.XLOOKUP(Q8,Sattdampft!A2:A20,Sattdampft!B2:B20,,-1)</f>
        <v>147.1</v>
      </c>
      <c r="R9" s="17">
        <f>_xlfn.XLOOKUP(R8,Sattdampft!A2:A20,Sattdampft!B2:B20,,-1)</f>
        <v>147.1</v>
      </c>
      <c r="S9" s="17">
        <f>_xlfn.XLOOKUP(S8,Sattdampft!A2:A20,Sattdampft!B2:B20,,-1)</f>
        <v>147.1</v>
      </c>
      <c r="T9" s="17">
        <f>_xlfn.XLOOKUP(T8,Sattdampft!A2:A20,Sattdampft!B2:B20,,-1)</f>
        <v>147.1</v>
      </c>
      <c r="U9" s="17">
        <f>_xlfn.XLOOKUP(U8,Sattdampft!A2:A20,Sattdampft!B2:B20,,-1)</f>
        <v>147.1</v>
      </c>
      <c r="V9" s="17">
        <f>_xlfn.XLOOKUP(V8,Sattdampft!A2:A20,Sattdampft!B2:B20,,-1)</f>
        <v>150.9</v>
      </c>
      <c r="W9" s="17">
        <f>_xlfn.XLOOKUP(W8,Sattdampft!A2:A20,Sattdampft!B2:B20,,-1)</f>
        <v>150.9</v>
      </c>
      <c r="X9" s="17">
        <f>_xlfn.XLOOKUP(X8,Sattdampft!A2:A20,Sattdampft!B2:B20,,-1)</f>
        <v>150.9</v>
      </c>
      <c r="Y9" s="17">
        <f>_xlfn.XLOOKUP(Y8,Sattdampft!A2:A20,Sattdampft!B2:B20,,-1)</f>
        <v>150.9</v>
      </c>
      <c r="Z9" s="17">
        <f>_xlfn.XLOOKUP(Z8,Sattdampft!A2:A20,Sattdampft!B2:B20,,-1)</f>
        <v>150.9</v>
      </c>
      <c r="AA9" s="17">
        <f>_xlfn.XLOOKUP(AA8,Sattdampft!A2:A20,Sattdampft!B2:B20,,-1)</f>
        <v>150.9</v>
      </c>
      <c r="AB9" s="17">
        <f>_xlfn.XLOOKUP(AB8,Sattdampft!A2:A20,Sattdampft!B2:B20,,-1)</f>
        <v>150.9</v>
      </c>
      <c r="AC9" s="17">
        <f>_xlfn.XLOOKUP(AC8,Sattdampft!A2:A20,Sattdampft!B2:B20,,-1)</f>
        <v>150.9</v>
      </c>
      <c r="AD9" s="17">
        <f>_xlfn.XLOOKUP(AD8,Sattdampft!A2:A20,Sattdampft!B2:B20,,-1)</f>
        <v>150.9</v>
      </c>
      <c r="AE9" s="17">
        <f>_xlfn.XLOOKUP(AE8,Sattdampft!A2:A20,Sattdampft!B2:B20,,-1)</f>
        <v>150.9</v>
      </c>
      <c r="AF9" s="17">
        <f>_xlfn.XLOOKUP(AF8,Sattdampft!A2:A20,Sattdampft!B2:B20,,-1)</f>
        <v>150.9</v>
      </c>
      <c r="AG9" s="17">
        <f>_xlfn.XLOOKUP(AG8,Sattdampft!A2:A20,Sattdampft!B2:B20,,-1)</f>
        <v>150.9</v>
      </c>
      <c r="AH9" s="17">
        <f>_xlfn.XLOOKUP(AH8,Sattdampft!A2:A20,Sattdampft!B2:B20,,-1)</f>
        <v>150.9</v>
      </c>
      <c r="AI9" s="18">
        <f>_xlfn.XLOOKUP(AI8,Sattdampft!A2:A20,Sattdampft!B2:B20,,-1)</f>
        <v>150.9</v>
      </c>
    </row>
    <row r="10" spans="1:37" x14ac:dyDescent="0.3">
      <c r="A10" s="10" t="s">
        <v>64</v>
      </c>
      <c r="B10" s="9" t="s">
        <v>13</v>
      </c>
      <c r="C10" s="25" cm="1">
        <f t="array" ref="C10">_xlfn.IFS(Main!C12=0,'A - 32,36,38,41 geschlossen'!C17,Main!C12=1,'A - 32,36,38,41 geschlossen'!C18)</f>
        <v>50</v>
      </c>
      <c r="D10" s="25" cm="1">
        <f t="array" ref="D10">_xlfn.IFS(Main!C12=0,'A - 32,36,38,41 geschlossen'!D17,Main!C12=1,'A - 32,36,38,41 geschlossen'!D18)</f>
        <v>55</v>
      </c>
      <c r="E10" s="25" cm="1">
        <f t="array" ref="E10">_xlfn.IFS(Main!C12=0,'A - 32,36,38,41 geschlossen'!E17,Main!C12=1,'A - 32,36,38,41 geschlossen'!E18)</f>
        <v>57</v>
      </c>
      <c r="F10" s="25" cm="1">
        <f t="array" ref="F10">_xlfn.IFS(Main!C12=0,'A - 32,36,38,41 geschlossen'!F17,Main!C12=1,'A - 32,36,38,41 geschlossen'!F18)</f>
        <v>60</v>
      </c>
      <c r="G10" s="25" cm="1">
        <f t="array" ref="G10">_xlfn.IFS(Main!C12=0,'A - 32,36,38,41 geschlossen'!G17,Main!C12=1,'A - 32,36,38,41 geschlossen'!G18)</f>
        <v>80</v>
      </c>
      <c r="H10" s="25" cm="1">
        <f t="array" ref="H10">_xlfn.IFS(Main!C12=0,'A - 32,36,38,41 geschlossen'!H17,Main!C12=1,'A - 32,36,38,41 geschlossen'!H18)</f>
        <v>80</v>
      </c>
      <c r="I10" s="25" cm="1">
        <f t="array" ref="I10">_xlfn.IFS(Main!C12=0,'A - 32,36,38,41 geschlossen'!I17,Main!C12=1,'A - 32,36,38,41 geschlossen'!I18)</f>
        <v>90</v>
      </c>
      <c r="J10" s="25" cm="1">
        <f t="array" ref="J10">_xlfn.IFS(Main!C12=0,'A - 32,36,38,41 geschlossen'!J17,Main!C12=1,'A - 32,36,38,41 geschlossen'!J18)</f>
        <v>90</v>
      </c>
      <c r="K10" s="25" cm="1">
        <f t="array" ref="K10">_xlfn.IFS(Main!C12=0,'A - 32,36,38,41 geschlossen'!K17,Main!C12=1,'A - 32,36,38,41 geschlossen'!K18)</f>
        <v>90</v>
      </c>
      <c r="L10" s="25" cm="1">
        <f t="array" ref="L10">_xlfn.IFS(Main!C12=0,'A - 32,36,38,41 geschlossen'!L17,Main!C12=1,'A - 32,36,38,41 geschlossen'!L18)</f>
        <v>90</v>
      </c>
      <c r="M10" s="25" cm="1">
        <f t="array" ref="M10">_xlfn.IFS(Main!C12=0,'A - 32,36,38,41 geschlossen'!M17,Main!C12=1,'A - 32,36,38,41 geschlossen'!M18)</f>
        <v>95</v>
      </c>
      <c r="N10" s="25" cm="1">
        <f t="array" ref="N10">_xlfn.IFS(Main!C12=0,'A - 32,36,38,41 geschlossen'!N17,Main!C12=1,'A - 32,36,38,41 geschlossen'!N18)</f>
        <v>95</v>
      </c>
      <c r="O10" s="25" cm="1">
        <f t="array" ref="O10">_xlfn.IFS(Main!C12=0,'A - 32,36,38,41 geschlossen'!O17,Main!C12=1,'A - 32,36,38,41 geschlossen'!O18)</f>
        <v>95</v>
      </c>
      <c r="P10" s="25" cm="1">
        <f t="array" ref="P10">_xlfn.IFS(Main!C12=0,'A - 32,36,38,41 geschlossen'!P17,Main!C12=1,'A - 32,36,38,41 geschlossen'!P18)</f>
        <v>95</v>
      </c>
      <c r="Q10" s="25" cm="1">
        <f t="array" ref="Q10">_xlfn.IFS(Main!C12=0,'A - 32,36,38,41 geschlossen'!Q17,Main!C12=1,'A - 32,36,38,41 geschlossen'!Q18)</f>
        <v>95</v>
      </c>
      <c r="R10" s="25" cm="1">
        <f t="array" ref="R10">_xlfn.IFS(Main!C12=0,'A - 32,36,38,41 geschlossen'!R17,Main!C12=1,'A - 32,36,38,41 geschlossen'!R18)</f>
        <v>95</v>
      </c>
      <c r="S10" s="25" cm="1">
        <f t="array" ref="S10">_xlfn.IFS(Main!C12=0,'A - 32,36,38,41 geschlossen'!S17,Main!C12=1,'A - 32,36,38,41 geschlossen'!S18)</f>
        <v>95</v>
      </c>
      <c r="T10" s="25" cm="1">
        <f t="array" ref="T10">_xlfn.IFS(Main!C12=0,'A - 32,36,38,41 geschlossen'!T17,Main!C12=1,'A - 32,36,38,41 geschlossen'!T18)</f>
        <v>95</v>
      </c>
      <c r="U10" s="25" cm="1">
        <f t="array" ref="U10">_xlfn.IFS(Main!C12=0,'A - 32,36,38,41 geschlossen'!U17,Main!C12=1,'A - 32,36,38,41 geschlossen'!U18)</f>
        <v>95</v>
      </c>
      <c r="V10" s="25" cm="1">
        <f t="array" ref="V10">_xlfn.IFS(Main!C12=0,'A - 32,36,38,41 geschlossen'!V17,Main!C12=1,'A - 32,36,38,41 geschlossen'!V18)</f>
        <v>95</v>
      </c>
      <c r="W10" s="25" cm="1">
        <f t="array" ref="W10">_xlfn.IFS(Main!C12=0,'A - 32,36,38,41 geschlossen'!W17,Main!C12=1,'A - 32,36,38,41 geschlossen'!W18)</f>
        <v>95</v>
      </c>
      <c r="X10" s="25" cm="1">
        <f t="array" ref="X10">_xlfn.IFS(Main!C12=0,'A - 32,36,38,41 geschlossen'!X17,Main!C12=1,'A - 32,36,38,41 geschlossen'!X18)</f>
        <v>95</v>
      </c>
      <c r="Y10" s="25" cm="1">
        <f t="array" ref="Y10">_xlfn.IFS(Main!C12=0,'A - 32,36,38,41 geschlossen'!Y17,Main!C12=1,'A - 32,36,38,41 geschlossen'!Y18)</f>
        <v>95</v>
      </c>
      <c r="Z10" s="25" cm="1">
        <f t="array" ref="Z10">_xlfn.IFS(Main!C12=0,'A - 32,36,38,41 geschlossen'!Z17,Main!C12=1,'A - 32,36,38,41 geschlossen'!Z18)</f>
        <v>95</v>
      </c>
      <c r="AA10" s="25" cm="1">
        <f t="array" ref="AA10">_xlfn.IFS(Main!C12=0,'A - 32,36,38,41 geschlossen'!AA17,Main!C12=1,'A - 32,36,38,41 geschlossen'!AA18)</f>
        <v>95</v>
      </c>
      <c r="AB10" s="25" cm="1">
        <f t="array" ref="AB10">_xlfn.IFS(Main!C12=0,'A - 32,36,38,41 geschlossen'!AB17,Main!C12=1,'A - 32,36,38,41 geschlossen'!AB18)</f>
        <v>95</v>
      </c>
      <c r="AC10" s="25" cm="1">
        <f t="array" ref="AC10">_xlfn.IFS(Main!C12=0,'A - 32,36,38,41 geschlossen'!AC17,Main!C12=1,'A - 32,36,38,41 geschlossen'!AC18)</f>
        <v>95</v>
      </c>
      <c r="AD10" s="25" cm="1">
        <f t="array" ref="AD10">_xlfn.IFS(Main!C12=0,'A - 32,36,38,41 geschlossen'!AD17,Main!C12=1,'A - 32,36,38,41 geschlossen'!AD18)</f>
        <v>95</v>
      </c>
      <c r="AE10" s="25" cm="1">
        <f t="array" ref="AE10">_xlfn.IFS(Main!C12=0,'A - 32,36,38,41 geschlossen'!AE17,Main!C12=1,'A - 32,36,38,41 geschlossen'!AE18)</f>
        <v>95</v>
      </c>
      <c r="AF10" s="25" cm="1">
        <f t="array" ref="AF10">_xlfn.IFS(Main!C12=0,'A - 32,36,38,41 geschlossen'!AF17,Main!C12=1,'A - 32,36,38,41 geschlossen'!AF18)</f>
        <v>95</v>
      </c>
      <c r="AG10" s="25" cm="1">
        <f t="array" ref="AG10">_xlfn.IFS(Main!C12=0,'A - 32,36,38,41 geschlossen'!AG17,Main!C12=1,'A - 32,36,38,41 geschlossen'!AG18)</f>
        <v>95</v>
      </c>
      <c r="AH10" s="25" cm="1">
        <f t="array" ref="AH10">_xlfn.IFS(Main!C12=0,'A - 32,36,38,41 geschlossen'!AH17,Main!C12=1,'A - 32,36,38,41 geschlossen'!AH18)</f>
        <v>95</v>
      </c>
      <c r="AI10" s="25" cm="1">
        <f t="array" ref="AI10">_xlfn.IFS(Main!C12=0,'A - 32,36,38,41 geschlossen'!AI17,Main!C12=1,'A - 32,36,38,41 geschlossen'!AI18)</f>
        <v>95</v>
      </c>
    </row>
    <row r="11" spans="1:37" x14ac:dyDescent="0.3">
      <c r="A11" s="10" t="s">
        <v>65</v>
      </c>
      <c r="B11" s="9" t="s">
        <v>13</v>
      </c>
      <c r="C11" s="14">
        <f>C9-C10</f>
        <v>82.800000000000011</v>
      </c>
      <c r="D11" s="14">
        <f t="shared" ref="D11:L11" si="5">D9-D10</f>
        <v>83.1</v>
      </c>
      <c r="E11" s="14">
        <f t="shared" si="5"/>
        <v>81.099999999999994</v>
      </c>
      <c r="F11" s="14">
        <f t="shared" si="5"/>
        <v>87.1</v>
      </c>
      <c r="G11" s="14">
        <f t="shared" si="5"/>
        <v>52.800000000000011</v>
      </c>
      <c r="H11" s="14">
        <f t="shared" si="5"/>
        <v>52.800000000000011</v>
      </c>
      <c r="I11" s="14">
        <f t="shared" si="5"/>
        <v>52.800000000000011</v>
      </c>
      <c r="J11" s="14">
        <f t="shared" si="5"/>
        <v>52.800000000000011</v>
      </c>
      <c r="K11" s="14">
        <f t="shared" si="5"/>
        <v>52.800000000000011</v>
      </c>
      <c r="L11" s="14">
        <f t="shared" si="5"/>
        <v>57.099999999999994</v>
      </c>
      <c r="M11" s="14">
        <f t="shared" ref="M11:R11" si="6">M9-M10</f>
        <v>52.099999999999994</v>
      </c>
      <c r="N11" s="14">
        <f t="shared" si="6"/>
        <v>52.099999999999994</v>
      </c>
      <c r="O11" s="14">
        <f t="shared" si="6"/>
        <v>52.099999999999994</v>
      </c>
      <c r="P11" s="14">
        <f t="shared" si="6"/>
        <v>52.099999999999994</v>
      </c>
      <c r="Q11" s="14">
        <f t="shared" si="6"/>
        <v>52.099999999999994</v>
      </c>
      <c r="R11" s="14">
        <f t="shared" si="6"/>
        <v>52.099999999999994</v>
      </c>
      <c r="S11" s="14">
        <f>S9-S10</f>
        <v>52.099999999999994</v>
      </c>
      <c r="T11" s="14">
        <f>T9-T10</f>
        <v>52.099999999999994</v>
      </c>
      <c r="U11" s="14">
        <f t="shared" ref="U11:AE11" si="7">U9-U10</f>
        <v>52.099999999999994</v>
      </c>
      <c r="V11" s="14">
        <f t="shared" si="7"/>
        <v>55.900000000000006</v>
      </c>
      <c r="W11" s="14">
        <f t="shared" si="7"/>
        <v>55.900000000000006</v>
      </c>
      <c r="X11" s="14">
        <f t="shared" si="7"/>
        <v>55.900000000000006</v>
      </c>
      <c r="Y11" s="14">
        <f t="shared" si="7"/>
        <v>55.900000000000006</v>
      </c>
      <c r="Z11" s="14">
        <f t="shared" si="7"/>
        <v>55.900000000000006</v>
      </c>
      <c r="AA11" s="14">
        <f t="shared" si="7"/>
        <v>55.900000000000006</v>
      </c>
      <c r="AB11" s="14">
        <f t="shared" si="7"/>
        <v>55.900000000000006</v>
      </c>
      <c r="AC11" s="14">
        <f t="shared" si="7"/>
        <v>55.900000000000006</v>
      </c>
      <c r="AD11" s="14">
        <f t="shared" si="7"/>
        <v>55.900000000000006</v>
      </c>
      <c r="AE11" s="14">
        <f t="shared" si="7"/>
        <v>55.900000000000006</v>
      </c>
      <c r="AF11" s="14">
        <f>AF9-AF10</f>
        <v>55.900000000000006</v>
      </c>
      <c r="AG11" s="14">
        <f t="shared" ref="AG11:AI11" si="8">AG9-AG10</f>
        <v>55.900000000000006</v>
      </c>
      <c r="AH11" s="14">
        <f t="shared" si="8"/>
        <v>55.900000000000006</v>
      </c>
      <c r="AI11" s="15">
        <f t="shared" si="8"/>
        <v>55.900000000000006</v>
      </c>
    </row>
    <row r="12" spans="1:37" x14ac:dyDescent="0.3">
      <c r="A12" s="10" t="s">
        <v>71</v>
      </c>
      <c r="B12" s="9" t="s">
        <v>67</v>
      </c>
      <c r="C12" s="1">
        <v>459</v>
      </c>
      <c r="D12" s="1">
        <v>459</v>
      </c>
      <c r="E12" s="1">
        <v>459</v>
      </c>
      <c r="F12" s="1">
        <v>459</v>
      </c>
      <c r="G12" s="1">
        <v>459</v>
      </c>
      <c r="H12" s="1">
        <v>459</v>
      </c>
      <c r="I12" s="1">
        <v>459</v>
      </c>
      <c r="J12" s="1">
        <v>459</v>
      </c>
      <c r="K12" s="1">
        <v>459</v>
      </c>
      <c r="L12" s="1">
        <v>459</v>
      </c>
      <c r="M12" s="1">
        <v>459</v>
      </c>
      <c r="N12" s="1">
        <v>459</v>
      </c>
      <c r="O12" s="1">
        <v>459</v>
      </c>
      <c r="P12" s="1">
        <v>459</v>
      </c>
      <c r="Q12" s="1">
        <v>459</v>
      </c>
      <c r="R12" s="1">
        <v>459</v>
      </c>
      <c r="S12" s="1">
        <v>459</v>
      </c>
      <c r="T12" s="1">
        <v>459</v>
      </c>
      <c r="U12" s="1">
        <v>459</v>
      </c>
      <c r="V12" s="1">
        <v>459</v>
      </c>
      <c r="W12" s="1">
        <v>459</v>
      </c>
      <c r="X12" s="1">
        <v>459</v>
      </c>
      <c r="Y12" s="1">
        <v>459</v>
      </c>
      <c r="Z12" s="1">
        <v>459</v>
      </c>
      <c r="AA12" s="1">
        <v>459</v>
      </c>
      <c r="AB12" s="1">
        <v>459</v>
      </c>
      <c r="AC12" s="1">
        <v>459</v>
      </c>
      <c r="AD12" s="1">
        <v>459</v>
      </c>
      <c r="AE12" s="1">
        <v>459</v>
      </c>
      <c r="AF12" s="1">
        <v>459</v>
      </c>
      <c r="AG12" s="1">
        <v>459</v>
      </c>
      <c r="AH12" s="1">
        <v>459</v>
      </c>
      <c r="AI12" s="1">
        <v>459</v>
      </c>
    </row>
    <row r="13" spans="1:37" x14ac:dyDescent="0.3">
      <c r="A13" s="10"/>
      <c r="B13" s="9" t="s">
        <v>9</v>
      </c>
      <c r="C13" s="1">
        <f>C11*C12</f>
        <v>38005.200000000004</v>
      </c>
      <c r="D13" s="1">
        <f>D11*D12</f>
        <v>38142.899999999994</v>
      </c>
      <c r="E13" s="1">
        <f t="shared" ref="E13:L13" si="9">E11*E12</f>
        <v>37224.899999999994</v>
      </c>
      <c r="F13" s="1">
        <f t="shared" si="9"/>
        <v>39978.899999999994</v>
      </c>
      <c r="G13" s="1">
        <f t="shared" si="9"/>
        <v>24235.200000000004</v>
      </c>
      <c r="H13" s="1">
        <f t="shared" si="9"/>
        <v>24235.200000000004</v>
      </c>
      <c r="I13" s="1">
        <f t="shared" si="9"/>
        <v>24235.200000000004</v>
      </c>
      <c r="J13" s="1">
        <f t="shared" si="9"/>
        <v>24235.200000000004</v>
      </c>
      <c r="K13" s="1">
        <f t="shared" si="9"/>
        <v>24235.200000000004</v>
      </c>
      <c r="L13" s="1">
        <f t="shared" si="9"/>
        <v>26208.899999999998</v>
      </c>
      <c r="M13" s="1">
        <f t="shared" ref="M13:AI13" si="10">M11*M12</f>
        <v>23913.899999999998</v>
      </c>
      <c r="N13" s="1">
        <f t="shared" si="10"/>
        <v>23913.899999999998</v>
      </c>
      <c r="O13" s="1">
        <f t="shared" si="10"/>
        <v>23913.899999999998</v>
      </c>
      <c r="P13" s="1">
        <f t="shared" si="10"/>
        <v>23913.899999999998</v>
      </c>
      <c r="Q13" s="1">
        <f t="shared" si="10"/>
        <v>23913.899999999998</v>
      </c>
      <c r="R13" s="1">
        <f t="shared" si="10"/>
        <v>23913.899999999998</v>
      </c>
      <c r="S13" s="1">
        <f t="shared" si="10"/>
        <v>23913.899999999998</v>
      </c>
      <c r="T13" s="1">
        <f t="shared" si="10"/>
        <v>23913.899999999998</v>
      </c>
      <c r="U13" s="1">
        <f t="shared" si="10"/>
        <v>23913.899999999998</v>
      </c>
      <c r="V13" s="1">
        <f t="shared" si="10"/>
        <v>25658.100000000002</v>
      </c>
      <c r="W13" s="1">
        <f t="shared" si="10"/>
        <v>25658.100000000002</v>
      </c>
      <c r="X13" s="1">
        <f t="shared" si="10"/>
        <v>25658.100000000002</v>
      </c>
      <c r="Y13" s="1">
        <f t="shared" si="10"/>
        <v>25658.100000000002</v>
      </c>
      <c r="Z13" s="1">
        <f t="shared" si="10"/>
        <v>25658.100000000002</v>
      </c>
      <c r="AA13" s="1">
        <f t="shared" si="10"/>
        <v>25658.100000000002</v>
      </c>
      <c r="AB13" s="1">
        <f t="shared" si="10"/>
        <v>25658.100000000002</v>
      </c>
      <c r="AC13" s="1">
        <f t="shared" si="10"/>
        <v>25658.100000000002</v>
      </c>
      <c r="AD13" s="1">
        <f t="shared" si="10"/>
        <v>25658.100000000002</v>
      </c>
      <c r="AE13" s="1">
        <f t="shared" si="10"/>
        <v>25658.100000000002</v>
      </c>
      <c r="AF13" s="1">
        <f t="shared" si="10"/>
        <v>25658.100000000002</v>
      </c>
      <c r="AG13" s="1">
        <f t="shared" si="10"/>
        <v>25658.100000000002</v>
      </c>
      <c r="AH13" s="1">
        <f t="shared" si="10"/>
        <v>25658.100000000002</v>
      </c>
      <c r="AI13" s="21">
        <f t="shared" si="10"/>
        <v>25658.100000000002</v>
      </c>
    </row>
    <row r="14" spans="1:37" x14ac:dyDescent="0.3">
      <c r="A14" s="11" t="s">
        <v>66</v>
      </c>
      <c r="B14" s="12" t="s">
        <v>17</v>
      </c>
      <c r="C14" s="19">
        <f>C7*C13/1000000</f>
        <v>1.0961586658308702</v>
      </c>
      <c r="D14" s="19">
        <f t="shared" ref="D14:L14" si="11">D7*D13/1000000</f>
        <v>1.3259848109030969</v>
      </c>
      <c r="E14" s="19">
        <f t="shared" si="11"/>
        <v>1.2940718190642739</v>
      </c>
      <c r="F14" s="19">
        <f t="shared" si="11"/>
        <v>1.389810794580743</v>
      </c>
      <c r="G14" s="19">
        <f t="shared" si="11"/>
        <v>0.84250298454492833</v>
      </c>
      <c r="H14" s="19">
        <f t="shared" si="11"/>
        <v>0.84250298454492833</v>
      </c>
      <c r="I14" s="19">
        <f t="shared" si="11"/>
        <v>0.84250298454492833</v>
      </c>
      <c r="J14" s="19">
        <f t="shared" si="11"/>
        <v>0.84250298454492833</v>
      </c>
      <c r="K14" s="19">
        <f t="shared" si="11"/>
        <v>0.84250298454492833</v>
      </c>
      <c r="L14" s="19">
        <f t="shared" si="11"/>
        <v>0.91111591699839767</v>
      </c>
      <c r="M14" s="19">
        <f t="shared" ref="M14:AI14" si="12">M7*M13/1000000</f>
        <v>0.83133343740134003</v>
      </c>
      <c r="N14" s="19">
        <f t="shared" si="12"/>
        <v>0.83133343740134003</v>
      </c>
      <c r="O14" s="19">
        <f t="shared" si="12"/>
        <v>0.83133343740134003</v>
      </c>
      <c r="P14" s="19">
        <f t="shared" si="12"/>
        <v>0.83133343740134003</v>
      </c>
      <c r="Q14" s="19">
        <f t="shared" si="12"/>
        <v>0.83133343740134003</v>
      </c>
      <c r="R14" s="19">
        <f t="shared" si="12"/>
        <v>0.83133343740134003</v>
      </c>
      <c r="S14" s="19">
        <f t="shared" si="12"/>
        <v>0.83133343740134003</v>
      </c>
      <c r="T14" s="19">
        <f t="shared" si="12"/>
        <v>0.83133343740134003</v>
      </c>
      <c r="U14" s="19">
        <f t="shared" si="12"/>
        <v>0.83133343740134003</v>
      </c>
      <c r="V14" s="19">
        <f t="shared" si="12"/>
        <v>0.89196812189510399</v>
      </c>
      <c r="W14" s="19">
        <f t="shared" si="12"/>
        <v>0.89196812189510399</v>
      </c>
      <c r="X14" s="19">
        <f t="shared" si="12"/>
        <v>0.89196812189510399</v>
      </c>
      <c r="Y14" s="19">
        <f t="shared" si="12"/>
        <v>0.89196812189510399</v>
      </c>
      <c r="Z14" s="19">
        <f t="shared" si="12"/>
        <v>0.89196812189510399</v>
      </c>
      <c r="AA14" s="19">
        <f t="shared" si="12"/>
        <v>0.89196812189510399</v>
      </c>
      <c r="AB14" s="19">
        <f t="shared" si="12"/>
        <v>0.89196812189510399</v>
      </c>
      <c r="AC14" s="19">
        <f t="shared" si="12"/>
        <v>0.89196812189510399</v>
      </c>
      <c r="AD14" s="19">
        <f t="shared" si="12"/>
        <v>0.89196812189510399</v>
      </c>
      <c r="AE14" s="19">
        <f t="shared" si="12"/>
        <v>0.89196812189510399</v>
      </c>
      <c r="AF14" s="19">
        <f t="shared" si="12"/>
        <v>0.89196812189510399</v>
      </c>
      <c r="AG14" s="19">
        <f t="shared" si="12"/>
        <v>0.89196812189510399</v>
      </c>
      <c r="AH14" s="19">
        <f t="shared" si="12"/>
        <v>0.89196812189510399</v>
      </c>
      <c r="AI14" s="20">
        <f t="shared" si="12"/>
        <v>0.89196812189510399</v>
      </c>
      <c r="AJ14" s="13">
        <f>SUM(C14:AI14)</f>
        <v>30.199211573245549</v>
      </c>
      <c r="AK14" s="8" t="s">
        <v>17</v>
      </c>
    </row>
    <row r="15" spans="1:37" x14ac:dyDescent="0.3">
      <c r="B15" s="9"/>
      <c r="C15" s="14"/>
      <c r="D15" s="14"/>
      <c r="E15" s="14"/>
      <c r="F15" s="14"/>
    </row>
    <row r="16" spans="1:37" x14ac:dyDescent="0.3">
      <c r="A16" s="6"/>
      <c r="B16" s="9"/>
      <c r="F16" s="14"/>
    </row>
    <row r="17" spans="2:35" x14ac:dyDescent="0.3"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2:35" x14ac:dyDescent="0.3">
      <c r="B18" s="9"/>
    </row>
    <row r="19" spans="2:35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23"/>
    </row>
  </sheetData>
  <mergeCells count="1">
    <mergeCell ref="A1:A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2D28-D115-4125-A97C-E40BC305AD4B}">
  <sheetPr>
    <tabColor rgb="FFFFC000"/>
  </sheetPr>
  <dimension ref="A1:AH19"/>
  <sheetViews>
    <sheetView topLeftCell="L1" workbookViewId="0">
      <selection activeCell="G26" sqref="A1:XFD1048576"/>
    </sheetView>
  </sheetViews>
  <sheetFormatPr baseColWidth="10" defaultRowHeight="14.4" x14ac:dyDescent="0.3"/>
  <sheetData>
    <row r="1" spans="1:34" x14ac:dyDescent="0.3">
      <c r="A1" s="108" t="s">
        <v>47</v>
      </c>
    </row>
    <row r="2" spans="1:34" x14ac:dyDescent="0.3">
      <c r="A2" s="109"/>
      <c r="B2" s="7" t="s">
        <v>54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4" x14ac:dyDescent="0.3">
      <c r="A3" s="10" t="s">
        <v>49</v>
      </c>
      <c r="B3" s="6" t="s">
        <v>72</v>
      </c>
      <c r="C3" s="1">
        <v>1</v>
      </c>
      <c r="D3" s="1">
        <v>3</v>
      </c>
      <c r="E3" s="1">
        <v>5</v>
      </c>
      <c r="F3" s="1">
        <v>7</v>
      </c>
      <c r="G3" s="1">
        <v>9</v>
      </c>
      <c r="H3" s="1">
        <v>11</v>
      </c>
      <c r="I3" s="1">
        <v>13</v>
      </c>
      <c r="J3" s="1">
        <v>15</v>
      </c>
      <c r="K3" s="1">
        <v>17</v>
      </c>
      <c r="L3" s="1">
        <v>18</v>
      </c>
      <c r="M3" s="1">
        <v>19</v>
      </c>
      <c r="N3" s="1">
        <v>21</v>
      </c>
      <c r="O3" s="1">
        <v>23</v>
      </c>
      <c r="P3" s="1">
        <v>25</v>
      </c>
      <c r="Q3" s="1">
        <v>26</v>
      </c>
      <c r="R3" s="1">
        <v>27</v>
      </c>
      <c r="S3" s="1">
        <v>28</v>
      </c>
      <c r="T3" s="1">
        <v>29</v>
      </c>
      <c r="U3" s="1">
        <v>30</v>
      </c>
      <c r="V3" s="1">
        <v>31</v>
      </c>
      <c r="W3" s="1">
        <v>32</v>
      </c>
      <c r="X3" s="1">
        <v>33</v>
      </c>
      <c r="Y3" s="1">
        <v>34</v>
      </c>
      <c r="Z3" s="1">
        <v>35</v>
      </c>
      <c r="AA3" s="1">
        <v>36</v>
      </c>
      <c r="AB3" s="1">
        <v>37</v>
      </c>
      <c r="AC3" s="1">
        <v>38</v>
      </c>
      <c r="AD3" s="1">
        <v>39</v>
      </c>
      <c r="AE3" s="1">
        <v>40</v>
      </c>
      <c r="AF3" s="23">
        <v>41</v>
      </c>
      <c r="AG3" s="2">
        <f>COUNT(C3:AF3)</f>
        <v>30</v>
      </c>
      <c r="AH3" t="s">
        <v>49</v>
      </c>
    </row>
    <row r="4" spans="1:34" x14ac:dyDescent="0.3">
      <c r="A4" s="10" t="s">
        <v>50</v>
      </c>
      <c r="B4" s="9" t="s">
        <v>42</v>
      </c>
      <c r="C4" s="14">
        <v>1.51</v>
      </c>
      <c r="D4" s="14">
        <v>1.82</v>
      </c>
      <c r="E4" s="14">
        <v>1.82</v>
      </c>
      <c r="F4" s="14">
        <v>1.82</v>
      </c>
      <c r="G4" s="14">
        <v>1.82</v>
      </c>
      <c r="H4" s="14">
        <v>1.82</v>
      </c>
      <c r="I4" s="14">
        <v>1.82</v>
      </c>
      <c r="J4" s="14">
        <v>1.82</v>
      </c>
      <c r="K4" s="14">
        <v>1.82</v>
      </c>
      <c r="L4" s="14">
        <v>1.82</v>
      </c>
      <c r="M4" s="14">
        <v>1.82</v>
      </c>
      <c r="N4" s="14">
        <v>1.82</v>
      </c>
      <c r="O4" s="14">
        <v>1.82</v>
      </c>
      <c r="P4" s="14">
        <v>1.82</v>
      </c>
      <c r="Q4" s="14">
        <v>1.82</v>
      </c>
      <c r="R4" s="14">
        <v>1.82</v>
      </c>
      <c r="S4" s="14">
        <v>1.82</v>
      </c>
      <c r="T4" s="14">
        <v>1.82</v>
      </c>
      <c r="U4" s="14">
        <v>1.82</v>
      </c>
      <c r="V4" s="14">
        <v>1.82</v>
      </c>
      <c r="W4" s="14">
        <v>1.82</v>
      </c>
      <c r="X4" s="14">
        <v>1.82</v>
      </c>
      <c r="Y4" s="14">
        <v>1.82</v>
      </c>
      <c r="Z4" s="14">
        <v>1.82</v>
      </c>
      <c r="AA4" s="14">
        <v>1.82</v>
      </c>
      <c r="AB4" s="14">
        <v>1.82</v>
      </c>
      <c r="AC4" s="14">
        <v>1.82</v>
      </c>
      <c r="AD4" s="14">
        <v>1.82</v>
      </c>
      <c r="AE4" s="14">
        <v>1.82</v>
      </c>
      <c r="AF4" s="15">
        <v>1.82</v>
      </c>
    </row>
    <row r="5" spans="1:34" x14ac:dyDescent="0.3">
      <c r="A5" s="10" t="s">
        <v>51</v>
      </c>
      <c r="B5" s="9" t="s">
        <v>33</v>
      </c>
      <c r="C5" s="5">
        <v>80</v>
      </c>
      <c r="D5" s="5">
        <v>80</v>
      </c>
      <c r="E5" s="5">
        <v>80</v>
      </c>
      <c r="F5" s="5">
        <v>80</v>
      </c>
      <c r="G5" s="5">
        <v>80</v>
      </c>
      <c r="H5" s="5">
        <v>80</v>
      </c>
      <c r="I5" s="5">
        <v>80</v>
      </c>
      <c r="J5" s="5">
        <v>80</v>
      </c>
      <c r="K5" s="5">
        <v>80</v>
      </c>
      <c r="L5" s="5">
        <v>80</v>
      </c>
      <c r="M5" s="5">
        <v>80</v>
      </c>
      <c r="N5" s="5">
        <v>80</v>
      </c>
      <c r="O5" s="5">
        <v>80</v>
      </c>
      <c r="P5" s="5">
        <v>80</v>
      </c>
      <c r="Q5" s="5">
        <v>80</v>
      </c>
      <c r="R5" s="5">
        <v>80</v>
      </c>
      <c r="S5" s="5">
        <v>80</v>
      </c>
      <c r="T5" s="5">
        <v>80</v>
      </c>
      <c r="U5" s="5">
        <v>80</v>
      </c>
      <c r="V5" s="5">
        <v>80</v>
      </c>
      <c r="W5" s="5">
        <v>80</v>
      </c>
      <c r="X5" s="5">
        <v>80</v>
      </c>
      <c r="Y5" s="5">
        <v>80</v>
      </c>
      <c r="Z5" s="5">
        <v>80</v>
      </c>
      <c r="AA5" s="5">
        <v>80</v>
      </c>
      <c r="AB5" s="5">
        <v>80</v>
      </c>
      <c r="AC5" s="5">
        <v>80</v>
      </c>
      <c r="AD5" s="5">
        <v>80</v>
      </c>
      <c r="AE5" s="5">
        <v>80</v>
      </c>
      <c r="AF5" s="22">
        <v>80</v>
      </c>
    </row>
    <row r="6" spans="1:34" x14ac:dyDescent="0.3">
      <c r="A6" s="10" t="s">
        <v>52</v>
      </c>
      <c r="B6" s="9" t="s">
        <v>15</v>
      </c>
      <c r="C6" s="14">
        <f>2*PI()*7.6*(C4/2)</f>
        <v>36.052917292596469</v>
      </c>
      <c r="D6" s="14">
        <f t="shared" ref="D6:AF6" si="0">2*PI()*7.6*(D4/2)</f>
        <v>43.454509584454023</v>
      </c>
      <c r="E6" s="14">
        <f t="shared" si="0"/>
        <v>43.454509584454023</v>
      </c>
      <c r="F6" s="14">
        <f t="shared" si="0"/>
        <v>43.454509584454023</v>
      </c>
      <c r="G6" s="14">
        <f t="shared" si="0"/>
        <v>43.454509584454023</v>
      </c>
      <c r="H6" s="14">
        <f t="shared" si="0"/>
        <v>43.454509584454023</v>
      </c>
      <c r="I6" s="14">
        <f t="shared" si="0"/>
        <v>43.454509584454023</v>
      </c>
      <c r="J6" s="14">
        <f t="shared" si="0"/>
        <v>43.454509584454023</v>
      </c>
      <c r="K6" s="14">
        <f t="shared" si="0"/>
        <v>43.454509584454023</v>
      </c>
      <c r="L6" s="14">
        <f t="shared" si="0"/>
        <v>43.454509584454023</v>
      </c>
      <c r="M6" s="14">
        <f t="shared" si="0"/>
        <v>43.454509584454023</v>
      </c>
      <c r="N6" s="14">
        <f t="shared" si="0"/>
        <v>43.454509584454023</v>
      </c>
      <c r="O6" s="14">
        <f t="shared" si="0"/>
        <v>43.454509584454023</v>
      </c>
      <c r="P6" s="14">
        <f t="shared" si="0"/>
        <v>43.454509584454023</v>
      </c>
      <c r="Q6" s="14">
        <f t="shared" si="0"/>
        <v>43.454509584454023</v>
      </c>
      <c r="R6" s="14">
        <f t="shared" si="0"/>
        <v>43.454509584454023</v>
      </c>
      <c r="S6" s="14">
        <f t="shared" si="0"/>
        <v>43.454509584454023</v>
      </c>
      <c r="T6" s="14">
        <f t="shared" si="0"/>
        <v>43.454509584454023</v>
      </c>
      <c r="U6" s="14">
        <f t="shared" si="0"/>
        <v>43.454509584454023</v>
      </c>
      <c r="V6" s="14">
        <f t="shared" si="0"/>
        <v>43.454509584454023</v>
      </c>
      <c r="W6" s="14">
        <f t="shared" si="0"/>
        <v>43.454509584454023</v>
      </c>
      <c r="X6" s="14">
        <f t="shared" si="0"/>
        <v>43.454509584454023</v>
      </c>
      <c r="Y6" s="14">
        <f t="shared" si="0"/>
        <v>43.454509584454023</v>
      </c>
      <c r="Z6" s="14">
        <f t="shared" si="0"/>
        <v>43.454509584454023</v>
      </c>
      <c r="AA6" s="14">
        <f t="shared" si="0"/>
        <v>43.454509584454023</v>
      </c>
      <c r="AB6" s="14">
        <f t="shared" si="0"/>
        <v>43.454509584454023</v>
      </c>
      <c r="AC6" s="14">
        <f t="shared" si="0"/>
        <v>43.454509584454023</v>
      </c>
      <c r="AD6" s="14">
        <f t="shared" si="0"/>
        <v>43.454509584454023</v>
      </c>
      <c r="AE6" s="14">
        <f t="shared" si="0"/>
        <v>43.454509584454023</v>
      </c>
      <c r="AF6" s="15">
        <f t="shared" si="0"/>
        <v>43.454509584454023</v>
      </c>
    </row>
    <row r="7" spans="1:34" x14ac:dyDescent="0.3">
      <c r="A7" s="10" t="s">
        <v>53</v>
      </c>
      <c r="B7" s="9" t="s">
        <v>15</v>
      </c>
      <c r="C7" s="14">
        <f>C6*C5/100</f>
        <v>28.842333834077177</v>
      </c>
      <c r="D7" s="14">
        <f>D6*D5/100</f>
        <v>34.763607667563221</v>
      </c>
      <c r="E7" s="14">
        <f t="shared" ref="E7:O7" si="1">E6*E5/100</f>
        <v>34.763607667563221</v>
      </c>
      <c r="F7" s="14">
        <f t="shared" si="1"/>
        <v>34.763607667563221</v>
      </c>
      <c r="G7" s="14">
        <f t="shared" si="1"/>
        <v>34.763607667563221</v>
      </c>
      <c r="H7" s="14">
        <f t="shared" si="1"/>
        <v>34.763607667563221</v>
      </c>
      <c r="I7" s="14">
        <f t="shared" si="1"/>
        <v>34.763607667563221</v>
      </c>
      <c r="J7" s="14">
        <f t="shared" si="1"/>
        <v>34.763607667563221</v>
      </c>
      <c r="K7" s="14">
        <f t="shared" si="1"/>
        <v>34.763607667563221</v>
      </c>
      <c r="L7" s="14">
        <f t="shared" si="1"/>
        <v>34.763607667563221</v>
      </c>
      <c r="M7" s="14">
        <f t="shared" si="1"/>
        <v>34.763607667563221</v>
      </c>
      <c r="N7" s="14">
        <f t="shared" si="1"/>
        <v>34.763607667563221</v>
      </c>
      <c r="O7" s="14">
        <f t="shared" si="1"/>
        <v>34.763607667563221</v>
      </c>
      <c r="P7" s="14">
        <f>P6*P5/100</f>
        <v>34.763607667563221</v>
      </c>
      <c r="Q7" s="14">
        <f>Q6*Q5/100</f>
        <v>34.763607667563221</v>
      </c>
      <c r="R7" s="14">
        <f t="shared" ref="R7:AF7" si="2">R6*R5/100</f>
        <v>34.763607667563221</v>
      </c>
      <c r="S7" s="14">
        <f t="shared" si="2"/>
        <v>34.763607667563221</v>
      </c>
      <c r="T7" s="14">
        <f t="shared" si="2"/>
        <v>34.763607667563221</v>
      </c>
      <c r="U7" s="14">
        <f t="shared" si="2"/>
        <v>34.763607667563221</v>
      </c>
      <c r="V7" s="14">
        <f t="shared" si="2"/>
        <v>34.763607667563221</v>
      </c>
      <c r="W7" s="14">
        <f t="shared" si="2"/>
        <v>34.763607667563221</v>
      </c>
      <c r="X7" s="14">
        <f t="shared" si="2"/>
        <v>34.763607667563221</v>
      </c>
      <c r="Y7" s="14">
        <f t="shared" si="2"/>
        <v>34.763607667563221</v>
      </c>
      <c r="Z7" s="14">
        <f t="shared" si="2"/>
        <v>34.763607667563221</v>
      </c>
      <c r="AA7" s="14">
        <f t="shared" si="2"/>
        <v>34.763607667563221</v>
      </c>
      <c r="AB7" s="14">
        <f t="shared" si="2"/>
        <v>34.763607667563221</v>
      </c>
      <c r="AC7" s="14">
        <f t="shared" si="2"/>
        <v>34.763607667563221</v>
      </c>
      <c r="AD7" s="14">
        <f t="shared" si="2"/>
        <v>34.763607667563221</v>
      </c>
      <c r="AE7" s="14">
        <f t="shared" si="2"/>
        <v>34.763607667563221</v>
      </c>
      <c r="AF7" s="15">
        <f t="shared" si="2"/>
        <v>34.763607667563221</v>
      </c>
      <c r="AG7" s="13">
        <f>SUM(C7:AF7)</f>
        <v>1036.9869561934102</v>
      </c>
      <c r="AH7" s="8" t="s">
        <v>15</v>
      </c>
    </row>
    <row r="8" spans="1:34" x14ac:dyDescent="0.3">
      <c r="A8" s="10" t="s">
        <v>60</v>
      </c>
      <c r="B8" s="9" t="s">
        <v>62</v>
      </c>
      <c r="C8" s="24" cm="1">
        <f t="array" ref="C8">_xlfn.IFS(Main!C12=0,'A - 32,36,38,41 geschlossen'!C15,Main!C12=1,'A - 32,36,38,41 geschlossen'!C16)</f>
        <v>2.2999999999999998</v>
      </c>
      <c r="D8" s="24" cm="1">
        <f t="array" ref="D8">_xlfn.IFS(Main!C12=0,'A - 32,36,38,41 geschlossen'!D15,Main!C12=1,'A - 32,36,38,41 geschlossen'!D16)</f>
        <v>2.5</v>
      </c>
      <c r="E8" s="24" cm="1">
        <f t="array" ref="E8">_xlfn.IFS(Main!C12=0,'A - 32,36,38,41 geschlossen'!E15,Main!C12=1,'A - 32,36,38,41 geschlossen'!E16)</f>
        <v>2.7</v>
      </c>
      <c r="F8" s="24" cm="1">
        <f t="array" ref="F8">_xlfn.IFS(Main!C12=0,'A - 32,36,38,41 geschlossen'!F15,Main!C12=1,'A - 32,36,38,41 geschlossen'!F16)</f>
        <v>3.5</v>
      </c>
      <c r="G8" s="24">
        <f>Main!C8</f>
        <v>2.4999999999999996</v>
      </c>
      <c r="H8" s="24">
        <f>Main!C8</f>
        <v>2.4999999999999996</v>
      </c>
      <c r="I8" s="24">
        <f>Main!C9</f>
        <v>3.0999999999999996</v>
      </c>
      <c r="J8" s="17">
        <f>I8</f>
        <v>3.0999999999999996</v>
      </c>
      <c r="K8" s="17">
        <f>I8</f>
        <v>3.0999999999999996</v>
      </c>
      <c r="L8" s="16">
        <v>3.5</v>
      </c>
      <c r="M8" s="24">
        <f>Main!C10</f>
        <v>3.6999999999999997</v>
      </c>
      <c r="N8" s="17">
        <f>M8</f>
        <v>3.6999999999999997</v>
      </c>
      <c r="O8" s="17">
        <f>M8</f>
        <v>3.6999999999999997</v>
      </c>
      <c r="P8" s="17">
        <f>M8</f>
        <v>3.6999999999999997</v>
      </c>
      <c r="Q8" s="17">
        <f>M8</f>
        <v>3.6999999999999997</v>
      </c>
      <c r="R8" s="17">
        <f>M8</f>
        <v>3.6999999999999997</v>
      </c>
      <c r="S8" s="24">
        <f>Main!C11</f>
        <v>4.3</v>
      </c>
      <c r="T8" s="17">
        <f>S8</f>
        <v>4.3</v>
      </c>
      <c r="U8" s="17">
        <f>S8</f>
        <v>4.3</v>
      </c>
      <c r="V8" s="17">
        <f>S8</f>
        <v>4.3</v>
      </c>
      <c r="W8" s="17">
        <f>S8</f>
        <v>4.3</v>
      </c>
      <c r="X8" s="17">
        <f>S8</f>
        <v>4.3</v>
      </c>
      <c r="Y8" s="17">
        <f>S8</f>
        <v>4.3</v>
      </c>
      <c r="Z8" s="17">
        <f>S8</f>
        <v>4.3</v>
      </c>
      <c r="AA8" s="17">
        <f>S8</f>
        <v>4.3</v>
      </c>
      <c r="AB8" s="17">
        <f>S8</f>
        <v>4.3</v>
      </c>
      <c r="AC8" s="17">
        <f>S8</f>
        <v>4.3</v>
      </c>
      <c r="AD8" s="17">
        <f>S8</f>
        <v>4.3</v>
      </c>
      <c r="AE8" s="17">
        <f>S8</f>
        <v>4.3</v>
      </c>
      <c r="AF8" s="18">
        <f>S8</f>
        <v>4.3</v>
      </c>
    </row>
    <row r="9" spans="1:34" x14ac:dyDescent="0.3">
      <c r="A9" s="10" t="s">
        <v>63</v>
      </c>
      <c r="B9" s="9" t="s">
        <v>13</v>
      </c>
      <c r="C9" s="17">
        <f>_xlfn.XLOOKUP(C8,Sattdampft!A2:A20,Sattdampft!B2:B20,,-1)</f>
        <v>132.80000000000001</v>
      </c>
      <c r="D9" s="17">
        <f>_xlfn.XLOOKUP(D8,Sattdampft!A2:A20,Sattdampft!B2:B20,,-1)</f>
        <v>138.1</v>
      </c>
      <c r="E9" s="17">
        <f>_xlfn.XLOOKUP(E8,Sattdampft!A2:A20,Sattdampft!B2:B20,,-1)</f>
        <v>138.1</v>
      </c>
      <c r="F9" s="17">
        <f>_xlfn.XLOOKUP(F8,Sattdampft!A2:A20,Sattdampft!B2:B20,,-1)</f>
        <v>147.1</v>
      </c>
      <c r="G9" s="17">
        <f>_xlfn.XLOOKUP(G8,Sattdampft!A2:A20,Sattdampft!B2:B20,,-1)</f>
        <v>132.80000000000001</v>
      </c>
      <c r="H9" s="17">
        <f>_xlfn.XLOOKUP(H8,Sattdampft!A2:A20,Sattdampft!B2:B20,,-1)</f>
        <v>132.80000000000001</v>
      </c>
      <c r="I9" s="17">
        <f>_xlfn.XLOOKUP(I8,Sattdampft!A2:A20,Sattdampft!B2:B20,,-1)</f>
        <v>142.80000000000001</v>
      </c>
      <c r="J9" s="17">
        <f>_xlfn.XLOOKUP(J8,Sattdampft!A2:A20,Sattdampft!B2:B20,,-1)</f>
        <v>142.80000000000001</v>
      </c>
      <c r="K9" s="17">
        <f>_xlfn.XLOOKUP(K8,Sattdampft!A2:A20,Sattdampft!B2:B20,,-1)</f>
        <v>142.80000000000001</v>
      </c>
      <c r="L9" s="17">
        <f>_xlfn.XLOOKUP(L8,Sattdampft!A2:A20,Sattdampft!B2:B20,,-1)</f>
        <v>147.1</v>
      </c>
      <c r="M9" s="17">
        <f>_xlfn.XLOOKUP(M8,Sattdampft!A2:A20,Sattdampft!B2:B20,,-1)</f>
        <v>147.1</v>
      </c>
      <c r="N9" s="17">
        <f>_xlfn.XLOOKUP(N8,Sattdampft!A2:A20,Sattdampft!B2:B20,,-1)</f>
        <v>147.1</v>
      </c>
      <c r="O9" s="17">
        <f>_xlfn.XLOOKUP(O8,Sattdampft!A2:A20,Sattdampft!B2:B20,,-1)</f>
        <v>147.1</v>
      </c>
      <c r="P9" s="17">
        <f>_xlfn.XLOOKUP(P8,Sattdampft!A2:A20,Sattdampft!B2:B20,,-1)</f>
        <v>147.1</v>
      </c>
      <c r="Q9" s="17">
        <f>_xlfn.XLOOKUP(Q8,Sattdampft!A2:A20,Sattdampft!B2:B20,,-1)</f>
        <v>147.1</v>
      </c>
      <c r="R9" s="17">
        <f>_xlfn.XLOOKUP(R8,Sattdampft!A2:A20,Sattdampft!B2:B20,,-1)</f>
        <v>147.1</v>
      </c>
      <c r="S9" s="17">
        <f>_xlfn.XLOOKUP(S8,Sattdampft!A2:A20,Sattdampft!B2:B20,,-1)</f>
        <v>150.9</v>
      </c>
      <c r="T9" s="17">
        <f>_xlfn.XLOOKUP(T8,Sattdampft!A2:A20,Sattdampft!B2:B20,,-1)</f>
        <v>150.9</v>
      </c>
      <c r="U9" s="17">
        <f>_xlfn.XLOOKUP(U8,Sattdampft!A2:A20,Sattdampft!B2:B20,,-1)</f>
        <v>150.9</v>
      </c>
      <c r="V9" s="17">
        <f>_xlfn.XLOOKUP(V8,Sattdampft!A2:A20,Sattdampft!B2:B20,,-1)</f>
        <v>150.9</v>
      </c>
      <c r="W9" s="17">
        <f>_xlfn.XLOOKUP(W8,Sattdampft!A2:A20,Sattdampft!B2:B20,,-1)</f>
        <v>150.9</v>
      </c>
      <c r="X9" s="17">
        <f>_xlfn.XLOOKUP(X8,Sattdampft!A2:A20,Sattdampft!B2:B20,,-1)</f>
        <v>150.9</v>
      </c>
      <c r="Y9" s="17">
        <f>_xlfn.XLOOKUP(Y8,Sattdampft!A2:A20,Sattdampft!B2:B20,,-1)</f>
        <v>150.9</v>
      </c>
      <c r="Z9" s="17">
        <f>_xlfn.XLOOKUP(Z8,Sattdampft!A2:A20,Sattdampft!B2:B20,,-1)</f>
        <v>150.9</v>
      </c>
      <c r="AA9" s="17">
        <f>_xlfn.XLOOKUP(AA8,Sattdampft!A2:A20,Sattdampft!B2:B20,,-1)</f>
        <v>150.9</v>
      </c>
      <c r="AB9" s="17">
        <f>_xlfn.XLOOKUP(AB8,Sattdampft!A2:A20,Sattdampft!B2:B20,,-1)</f>
        <v>150.9</v>
      </c>
      <c r="AC9" s="17">
        <f>_xlfn.XLOOKUP(AC8,Sattdampft!A2:A20,Sattdampft!B2:B20,,-1)</f>
        <v>150.9</v>
      </c>
      <c r="AD9" s="17">
        <f>_xlfn.XLOOKUP(AD8,Sattdampft!A2:A20,Sattdampft!B2:B20,,-1)</f>
        <v>150.9</v>
      </c>
      <c r="AE9" s="17">
        <f>_xlfn.XLOOKUP(AE8,Sattdampft!A2:A20,Sattdampft!B2:B20,,-1)</f>
        <v>150.9</v>
      </c>
      <c r="AF9" s="18">
        <f>_xlfn.XLOOKUP(AF8,Sattdampft!A2:A20,Sattdampft!B2:B20,,-1)</f>
        <v>150.9</v>
      </c>
    </row>
    <row r="10" spans="1:34" x14ac:dyDescent="0.3">
      <c r="A10" s="10" t="s">
        <v>64</v>
      </c>
      <c r="B10" s="9" t="s">
        <v>13</v>
      </c>
      <c r="C10" s="25" cm="1">
        <f t="array" ref="C10">_xlfn.IFS(Main!C12=0,'A - 32,36,38,41 geschlossen'!C17,Main!C12=1,'A - 32,36,38,41 geschlossen'!C18)</f>
        <v>50</v>
      </c>
      <c r="D10" s="25" cm="1">
        <f t="array" ref="D10">_xlfn.IFS(Main!C12=0,'A - 32,36,38,41 geschlossen'!D17,Main!C12=1,'A - 32,36,38,41 geschlossen'!D18)</f>
        <v>55</v>
      </c>
      <c r="E10" s="25" cm="1">
        <f t="array" ref="E10">_xlfn.IFS(Main!C12=0,'A - 32,36,38,41 geschlossen'!E17,Main!C12=1,'A - 32,36,38,41 geschlossen'!E18)</f>
        <v>57</v>
      </c>
      <c r="F10" s="25" cm="1">
        <f t="array" ref="F10">_xlfn.IFS(Main!C12=0,'A - 32,36,38,41 geschlossen'!F17,Main!C12=1,'A - 32,36,38,41 geschlossen'!F18)</f>
        <v>60</v>
      </c>
      <c r="G10" s="25" cm="1">
        <f t="array" ref="G10">_xlfn.IFS(Main!C12=0,'A - 32,36,38,41 geschlossen'!G17,Main!C12=1,'A - 32,36,38,41 geschlossen'!G18)</f>
        <v>80</v>
      </c>
      <c r="H10" s="25" cm="1">
        <f t="array" ref="H10">_xlfn.IFS(Main!C12=0,'A - 32,36,38,41 geschlossen'!H17,Main!C12=1,'A - 32,36,38,41 geschlossen'!H18)</f>
        <v>80</v>
      </c>
      <c r="I10" s="25" cm="1">
        <f t="array" ref="I10">_xlfn.IFS(Main!C12=0,'A - 32,36,38,41 geschlossen'!I17,Main!C12=1,'A - 32,36,38,41 geschlossen'!I18)</f>
        <v>90</v>
      </c>
      <c r="J10" s="25" cm="1">
        <f t="array" ref="J10">_xlfn.IFS(Main!C12=0,'A - 32,36,38,41 geschlossen'!J17,Main!C12=1,'A - 32,36,38,41 geschlossen'!J18)</f>
        <v>90</v>
      </c>
      <c r="K10" s="25" cm="1">
        <f t="array" ref="K10">_xlfn.IFS(Main!C12=0,'A - 32,36,38,41 geschlossen'!K17,Main!C12=1,'A - 32,36,38,41 geschlossen'!K18)</f>
        <v>90</v>
      </c>
      <c r="L10" s="25" cm="1">
        <f t="array" ref="L10">_xlfn.IFS(Main!C12=0,'A - 32,36,38,41 geschlossen'!L17,Main!C12=1,'A - 32,36,38,41 geschlossen'!L18)</f>
        <v>90</v>
      </c>
      <c r="M10" s="25" cm="1">
        <f t="array" ref="M10">_xlfn.IFS(Main!C12=0,'A - 32,36,38,41 geschlossen'!M17,Main!C12=1,'A - 32,36,38,41 geschlossen'!M18)</f>
        <v>95</v>
      </c>
      <c r="N10" s="25" cm="1">
        <f t="array" ref="N10">_xlfn.IFS(Main!C12=0,'A - 32,36,38,41 geschlossen'!O17,Main!C12=1,'A - 32,36,38,41 geschlossen'!O18)</f>
        <v>95</v>
      </c>
      <c r="O10" s="25" cm="1">
        <f t="array" ref="O10">_xlfn.IFS(Main!C12=0,'A - 32,36,38,41 geschlossen'!Q17,Main!C12=1,'A - 32,36,38,41 geschlossen'!Q18)</f>
        <v>95</v>
      </c>
      <c r="P10" s="25" cm="1">
        <f t="array" ref="P10">_xlfn.IFS(Main!C12=0,'A - 32,36,38,41 geschlossen'!S17,Main!C12=1,'A - 32,36,38,41 geschlossen'!S18)</f>
        <v>95</v>
      </c>
      <c r="Q10" s="25" cm="1">
        <f t="array" ref="Q10">_xlfn.IFS(Main!C12=0,'A - 32,36,38,41 geschlossen'!T17,Main!C12=1,'A - 32,36,38,41 geschlossen'!T18)</f>
        <v>95</v>
      </c>
      <c r="R10" s="25" cm="1">
        <f t="array" ref="R10">_xlfn.IFS(Main!C12=0,'A - 32,36,38,41 geschlossen'!U17,Main!C12=1,'A - 32,36,38,41 geschlossen'!U18)</f>
        <v>95</v>
      </c>
      <c r="S10" s="25" cm="1">
        <f t="array" ref="S10">_xlfn.IFS(Main!C12=0,'A - 32,36,38,41 geschlossen'!V17,Main!C12=1,'A - 32,36,38,41 geschlossen'!V18)</f>
        <v>95</v>
      </c>
      <c r="T10" s="25" cm="1">
        <f t="array" ref="T10">_xlfn.IFS(Main!C12=0,'A - 32,36,38,41 geschlossen'!W17,Main!C12=1,'A - 32,36,38,41 geschlossen'!W18)</f>
        <v>95</v>
      </c>
      <c r="U10" s="25" cm="1">
        <f t="array" ref="U10">_xlfn.IFS(Main!C12=0,'A - 32,36,38,41 geschlossen'!X17,Main!C12=1,'A - 32,36,38,41 geschlossen'!X18)</f>
        <v>95</v>
      </c>
      <c r="V10" s="25" cm="1">
        <f t="array" ref="V10">_xlfn.IFS(Main!C12=0,'A - 32,36,38,41 geschlossen'!Y17,Main!C12=1,'A - 32,36,38,41 geschlossen'!Y18)</f>
        <v>95</v>
      </c>
      <c r="W10" s="25" cm="1">
        <f t="array" ref="W10">_xlfn.IFS(Main!C12=0,'A - 32,36,38,41 geschlossen'!Z17,Main!C12=1,'A - 32,36,38,41 geschlossen'!Z18)</f>
        <v>95</v>
      </c>
      <c r="X10" s="25" cm="1">
        <f t="array" ref="X10">_xlfn.IFS(Main!C12=0,'A - 32,36,38,41 geschlossen'!AA17,Main!C12=1,'A - 32,36,38,41 geschlossen'!AA18)</f>
        <v>95</v>
      </c>
      <c r="Y10" s="25" cm="1">
        <f t="array" ref="Y10">_xlfn.IFS(Main!C12=0,'A - 32,36,38,41 geschlossen'!AB17,Main!C12=1,'A - 32,36,38,41 geschlossen'!AB18)</f>
        <v>95</v>
      </c>
      <c r="Z10" s="25" cm="1">
        <f t="array" ref="Z10">_xlfn.IFS(Main!C12=0,'A - 32,36,38,41 geschlossen'!AC17,Main!C12=1,'A - 32,36,38,41 geschlossen'!AC18)</f>
        <v>95</v>
      </c>
      <c r="AA10" s="25" cm="1">
        <f t="array" ref="AA10">_xlfn.IFS(Main!C12=0,'A - 32,36,38,41 geschlossen'!AD17,Main!C12=1,'A - 32,36,38,41 geschlossen'!AD18)</f>
        <v>95</v>
      </c>
      <c r="AB10" s="25" cm="1">
        <f t="array" ref="AB10">_xlfn.IFS(Main!C12=0,'A - 32,36,38,41 geschlossen'!AE17,Main!C12=1,'A - 32,36,38,41 geschlossen'!AE18)</f>
        <v>95</v>
      </c>
      <c r="AC10" s="25" cm="1">
        <f t="array" ref="AC10">_xlfn.IFS(Main!C12=0,'A - 32,36,38,41 geschlossen'!AF17,Main!C12=1,'A - 32,36,38,41 geschlossen'!AF18)</f>
        <v>95</v>
      </c>
      <c r="AD10" s="25" cm="1">
        <f t="array" ref="AD10">_xlfn.IFS(Main!C12=0,'A - 32,36,38,41 geschlossen'!AG17,Main!C12=1,'A - 32,36,38,41 geschlossen'!AG18)</f>
        <v>95</v>
      </c>
      <c r="AE10" s="25" cm="1">
        <f t="array" ref="AE10">_xlfn.IFS(Main!C12=0,'A - 32,36,38,41 geschlossen'!AH17,Main!C12=1,'A - 32,36,38,41 geschlossen'!AH18)</f>
        <v>95</v>
      </c>
      <c r="AF10" s="25" cm="1">
        <f t="array" ref="AF10">_xlfn.IFS(Main!C12=0,'A - 32,36,38,41 geschlossen'!AI17,Main!C12=1,'A - 32,36,38,41 geschlossen'!AI18)</f>
        <v>95</v>
      </c>
    </row>
    <row r="11" spans="1:34" x14ac:dyDescent="0.3">
      <c r="A11" s="10" t="s">
        <v>65</v>
      </c>
      <c r="B11" s="9" t="s">
        <v>13</v>
      </c>
      <c r="C11" s="14">
        <f>C9-C10</f>
        <v>82.800000000000011</v>
      </c>
      <c r="D11" s="14">
        <f t="shared" ref="D11:O11" si="3">D9-D10</f>
        <v>83.1</v>
      </c>
      <c r="E11" s="14">
        <f t="shared" si="3"/>
        <v>81.099999999999994</v>
      </c>
      <c r="F11" s="14">
        <f t="shared" si="3"/>
        <v>87.1</v>
      </c>
      <c r="G11" s="14">
        <f t="shared" si="3"/>
        <v>52.800000000000011</v>
      </c>
      <c r="H11" s="14">
        <f t="shared" si="3"/>
        <v>52.800000000000011</v>
      </c>
      <c r="I11" s="14">
        <f t="shared" si="3"/>
        <v>52.800000000000011</v>
      </c>
      <c r="J11" s="14">
        <f t="shared" si="3"/>
        <v>52.800000000000011</v>
      </c>
      <c r="K11" s="14">
        <f t="shared" si="3"/>
        <v>52.800000000000011</v>
      </c>
      <c r="L11" s="14">
        <f t="shared" si="3"/>
        <v>57.099999999999994</v>
      </c>
      <c r="M11" s="14">
        <f t="shared" si="3"/>
        <v>52.099999999999994</v>
      </c>
      <c r="N11" s="14">
        <f t="shared" si="3"/>
        <v>52.099999999999994</v>
      </c>
      <c r="O11" s="14">
        <f t="shared" si="3"/>
        <v>52.099999999999994</v>
      </c>
      <c r="P11" s="14">
        <f>P9-P10</f>
        <v>52.099999999999994</v>
      </c>
      <c r="Q11" s="14">
        <f>Q9-Q10</f>
        <v>52.099999999999994</v>
      </c>
      <c r="R11" s="14">
        <f t="shared" ref="R11:AB11" si="4">R9-R10</f>
        <v>52.099999999999994</v>
      </c>
      <c r="S11" s="14">
        <f t="shared" si="4"/>
        <v>55.900000000000006</v>
      </c>
      <c r="T11" s="14">
        <f t="shared" si="4"/>
        <v>55.900000000000006</v>
      </c>
      <c r="U11" s="14">
        <f t="shared" si="4"/>
        <v>55.900000000000006</v>
      </c>
      <c r="V11" s="14">
        <f t="shared" si="4"/>
        <v>55.900000000000006</v>
      </c>
      <c r="W11" s="14">
        <f t="shared" si="4"/>
        <v>55.900000000000006</v>
      </c>
      <c r="X11" s="14">
        <f t="shared" si="4"/>
        <v>55.900000000000006</v>
      </c>
      <c r="Y11" s="14">
        <f t="shared" si="4"/>
        <v>55.900000000000006</v>
      </c>
      <c r="Z11" s="14">
        <f t="shared" si="4"/>
        <v>55.900000000000006</v>
      </c>
      <c r="AA11" s="14">
        <f t="shared" si="4"/>
        <v>55.900000000000006</v>
      </c>
      <c r="AB11" s="14">
        <f t="shared" si="4"/>
        <v>55.900000000000006</v>
      </c>
      <c r="AC11" s="14">
        <f>AC9-AC10</f>
        <v>55.900000000000006</v>
      </c>
      <c r="AD11" s="14">
        <f t="shared" ref="AD11:AF11" si="5">AD9-AD10</f>
        <v>55.900000000000006</v>
      </c>
      <c r="AE11" s="14">
        <f t="shared" si="5"/>
        <v>55.900000000000006</v>
      </c>
      <c r="AF11" s="15">
        <f t="shared" si="5"/>
        <v>55.900000000000006</v>
      </c>
    </row>
    <row r="12" spans="1:34" x14ac:dyDescent="0.3">
      <c r="A12" s="10" t="s">
        <v>71</v>
      </c>
      <c r="B12" s="9" t="s">
        <v>67</v>
      </c>
      <c r="C12" s="1">
        <v>459</v>
      </c>
      <c r="D12" s="1">
        <v>459</v>
      </c>
      <c r="E12" s="1">
        <v>459</v>
      </c>
      <c r="F12" s="1">
        <v>459</v>
      </c>
      <c r="G12" s="1">
        <v>459</v>
      </c>
      <c r="H12" s="1">
        <v>459</v>
      </c>
      <c r="I12" s="1">
        <v>459</v>
      </c>
      <c r="J12" s="1">
        <v>459</v>
      </c>
      <c r="K12" s="1">
        <v>459</v>
      </c>
      <c r="L12" s="1">
        <v>459</v>
      </c>
      <c r="M12" s="1">
        <v>459</v>
      </c>
      <c r="N12" s="1">
        <v>459</v>
      </c>
      <c r="O12" s="1">
        <v>459</v>
      </c>
      <c r="P12" s="1">
        <v>459</v>
      </c>
      <c r="Q12" s="1">
        <v>459</v>
      </c>
      <c r="R12" s="1">
        <v>459</v>
      </c>
      <c r="S12" s="1">
        <v>459</v>
      </c>
      <c r="T12" s="1">
        <v>459</v>
      </c>
      <c r="U12" s="1">
        <v>459</v>
      </c>
      <c r="V12" s="1">
        <v>459</v>
      </c>
      <c r="W12" s="1">
        <v>459</v>
      </c>
      <c r="X12" s="1">
        <v>459</v>
      </c>
      <c r="Y12" s="1">
        <v>459</v>
      </c>
      <c r="Z12" s="1">
        <v>459</v>
      </c>
      <c r="AA12" s="1">
        <v>459</v>
      </c>
      <c r="AB12" s="1">
        <v>459</v>
      </c>
      <c r="AC12" s="1">
        <v>459</v>
      </c>
      <c r="AD12" s="1">
        <v>459</v>
      </c>
      <c r="AE12" s="1">
        <v>459</v>
      </c>
      <c r="AF12" s="1">
        <v>459</v>
      </c>
    </row>
    <row r="13" spans="1:34" x14ac:dyDescent="0.3">
      <c r="A13" s="10"/>
      <c r="B13" s="9" t="s">
        <v>9</v>
      </c>
      <c r="C13" s="1">
        <f>C11*C12</f>
        <v>38005.200000000004</v>
      </c>
      <c r="D13" s="1">
        <f>D11*D12</f>
        <v>38142.899999999994</v>
      </c>
      <c r="E13" s="1">
        <f t="shared" ref="E13:AF13" si="6">E11*E12</f>
        <v>37224.899999999994</v>
      </c>
      <c r="F13" s="1">
        <f t="shared" si="6"/>
        <v>39978.899999999994</v>
      </c>
      <c r="G13" s="1">
        <f t="shared" si="6"/>
        <v>24235.200000000004</v>
      </c>
      <c r="H13" s="1">
        <f t="shared" si="6"/>
        <v>24235.200000000004</v>
      </c>
      <c r="I13" s="1">
        <f t="shared" si="6"/>
        <v>24235.200000000004</v>
      </c>
      <c r="J13" s="1">
        <f t="shared" si="6"/>
        <v>24235.200000000004</v>
      </c>
      <c r="K13" s="1">
        <f t="shared" si="6"/>
        <v>24235.200000000004</v>
      </c>
      <c r="L13" s="1">
        <f t="shared" si="6"/>
        <v>26208.899999999998</v>
      </c>
      <c r="M13" s="1">
        <f t="shared" si="6"/>
        <v>23913.899999999998</v>
      </c>
      <c r="N13" s="1">
        <f t="shared" si="6"/>
        <v>23913.899999999998</v>
      </c>
      <c r="O13" s="1">
        <f t="shared" si="6"/>
        <v>23913.899999999998</v>
      </c>
      <c r="P13" s="1">
        <f t="shared" si="6"/>
        <v>23913.899999999998</v>
      </c>
      <c r="Q13" s="1">
        <f t="shared" si="6"/>
        <v>23913.899999999998</v>
      </c>
      <c r="R13" s="1">
        <f t="shared" si="6"/>
        <v>23913.899999999998</v>
      </c>
      <c r="S13" s="1">
        <f t="shared" si="6"/>
        <v>25658.100000000002</v>
      </c>
      <c r="T13" s="1">
        <f t="shared" si="6"/>
        <v>25658.100000000002</v>
      </c>
      <c r="U13" s="1">
        <f t="shared" si="6"/>
        <v>25658.100000000002</v>
      </c>
      <c r="V13" s="1">
        <f t="shared" si="6"/>
        <v>25658.100000000002</v>
      </c>
      <c r="W13" s="1">
        <f t="shared" si="6"/>
        <v>25658.100000000002</v>
      </c>
      <c r="X13" s="1">
        <f t="shared" si="6"/>
        <v>25658.100000000002</v>
      </c>
      <c r="Y13" s="1">
        <f t="shared" si="6"/>
        <v>25658.100000000002</v>
      </c>
      <c r="Z13" s="1">
        <f t="shared" si="6"/>
        <v>25658.100000000002</v>
      </c>
      <c r="AA13" s="1">
        <f t="shared" si="6"/>
        <v>25658.100000000002</v>
      </c>
      <c r="AB13" s="1">
        <f t="shared" si="6"/>
        <v>25658.100000000002</v>
      </c>
      <c r="AC13" s="1">
        <f t="shared" si="6"/>
        <v>25658.100000000002</v>
      </c>
      <c r="AD13" s="1">
        <f t="shared" si="6"/>
        <v>25658.100000000002</v>
      </c>
      <c r="AE13" s="1">
        <f t="shared" si="6"/>
        <v>25658.100000000002</v>
      </c>
      <c r="AF13" s="21">
        <f t="shared" si="6"/>
        <v>25658.100000000002</v>
      </c>
    </row>
    <row r="14" spans="1:34" x14ac:dyDescent="0.3">
      <c r="A14" s="11" t="s">
        <v>66</v>
      </c>
      <c r="B14" s="12" t="s">
        <v>17</v>
      </c>
      <c r="C14" s="19">
        <f>C7*C13/1000000</f>
        <v>1.0961586658308702</v>
      </c>
      <c r="D14" s="19">
        <f t="shared" ref="D14:AF14" si="7">D7*D13/1000000</f>
        <v>1.3259848109030969</v>
      </c>
      <c r="E14" s="19">
        <f t="shared" si="7"/>
        <v>1.2940718190642739</v>
      </c>
      <c r="F14" s="19">
        <f t="shared" si="7"/>
        <v>1.389810794580743</v>
      </c>
      <c r="G14" s="19">
        <f t="shared" si="7"/>
        <v>0.84250298454492833</v>
      </c>
      <c r="H14" s="19">
        <f t="shared" si="7"/>
        <v>0.84250298454492833</v>
      </c>
      <c r="I14" s="19">
        <f t="shared" si="7"/>
        <v>0.84250298454492833</v>
      </c>
      <c r="J14" s="19">
        <f t="shared" si="7"/>
        <v>0.84250298454492833</v>
      </c>
      <c r="K14" s="19">
        <f t="shared" si="7"/>
        <v>0.84250298454492833</v>
      </c>
      <c r="L14" s="19">
        <f t="shared" si="7"/>
        <v>0.91111591699839767</v>
      </c>
      <c r="M14" s="19">
        <f t="shared" si="7"/>
        <v>0.83133343740134003</v>
      </c>
      <c r="N14" s="19">
        <f t="shared" si="7"/>
        <v>0.83133343740134003</v>
      </c>
      <c r="O14" s="19">
        <f t="shared" si="7"/>
        <v>0.83133343740134003</v>
      </c>
      <c r="P14" s="19">
        <f t="shared" si="7"/>
        <v>0.83133343740134003</v>
      </c>
      <c r="Q14" s="19">
        <f t="shared" si="7"/>
        <v>0.83133343740134003</v>
      </c>
      <c r="R14" s="19">
        <f t="shared" si="7"/>
        <v>0.83133343740134003</v>
      </c>
      <c r="S14" s="19">
        <f t="shared" si="7"/>
        <v>0.89196812189510399</v>
      </c>
      <c r="T14" s="19">
        <f t="shared" si="7"/>
        <v>0.89196812189510399</v>
      </c>
      <c r="U14" s="19">
        <f t="shared" si="7"/>
        <v>0.89196812189510399</v>
      </c>
      <c r="V14" s="19">
        <f t="shared" si="7"/>
        <v>0.89196812189510399</v>
      </c>
      <c r="W14" s="19">
        <f t="shared" si="7"/>
        <v>0.89196812189510399</v>
      </c>
      <c r="X14" s="19">
        <f t="shared" si="7"/>
        <v>0.89196812189510399</v>
      </c>
      <c r="Y14" s="19">
        <f t="shared" si="7"/>
        <v>0.89196812189510399</v>
      </c>
      <c r="Z14" s="19">
        <f t="shared" si="7"/>
        <v>0.89196812189510399</v>
      </c>
      <c r="AA14" s="19">
        <f t="shared" si="7"/>
        <v>0.89196812189510399</v>
      </c>
      <c r="AB14" s="19">
        <f t="shared" si="7"/>
        <v>0.89196812189510399</v>
      </c>
      <c r="AC14" s="19">
        <f t="shared" si="7"/>
        <v>0.89196812189510399</v>
      </c>
      <c r="AD14" s="19">
        <f t="shared" si="7"/>
        <v>0.89196812189510399</v>
      </c>
      <c r="AE14" s="19">
        <f t="shared" si="7"/>
        <v>0.89196812189510399</v>
      </c>
      <c r="AF14" s="20">
        <f t="shared" si="7"/>
        <v>0.89196812189510399</v>
      </c>
      <c r="AG14" s="13">
        <f>SUM(C14:AF14)</f>
        <v>27.705211261041526</v>
      </c>
      <c r="AH14" s="8" t="s">
        <v>17</v>
      </c>
    </row>
    <row r="15" spans="1:34" x14ac:dyDescent="0.3">
      <c r="B15" s="9"/>
      <c r="C15" s="14"/>
      <c r="D15" s="14"/>
      <c r="E15" s="14"/>
      <c r="F15" s="14"/>
    </row>
    <row r="16" spans="1:34" x14ac:dyDescent="0.3">
      <c r="A16" s="6"/>
      <c r="B16" s="9"/>
      <c r="F16" s="14"/>
    </row>
    <row r="17" spans="2:32" x14ac:dyDescent="0.3"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2:32" x14ac:dyDescent="0.3">
      <c r="B18" s="9"/>
    </row>
    <row r="19" spans="2:32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23"/>
    </row>
  </sheetData>
  <mergeCells count="1">
    <mergeCell ref="A1:A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2AB0-6B25-409A-82B8-009C8AF1F6FF}">
  <dimension ref="A1:AL19"/>
  <sheetViews>
    <sheetView topLeftCell="S1" workbookViewId="0">
      <selection activeCell="AI14" sqref="AI14"/>
    </sheetView>
  </sheetViews>
  <sheetFormatPr baseColWidth="10" defaultRowHeight="14.4" x14ac:dyDescent="0.3"/>
  <sheetData>
    <row r="1" spans="1:38" x14ac:dyDescent="0.3">
      <c r="A1" s="108" t="s">
        <v>47</v>
      </c>
    </row>
    <row r="2" spans="1:38" x14ac:dyDescent="0.3">
      <c r="A2" s="109"/>
      <c r="B2" s="7" t="s">
        <v>54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8" x14ac:dyDescent="0.3">
      <c r="A3" s="10" t="s">
        <v>49</v>
      </c>
      <c r="B3" s="6" t="s">
        <v>72</v>
      </c>
      <c r="C3" s="1">
        <v>1</v>
      </c>
      <c r="D3" s="1">
        <v>3</v>
      </c>
      <c r="E3" s="1">
        <v>5</v>
      </c>
      <c r="F3" s="1">
        <v>7</v>
      </c>
      <c r="G3" s="1">
        <v>9</v>
      </c>
      <c r="H3" s="1">
        <v>11</v>
      </c>
      <c r="I3" s="1">
        <v>13</v>
      </c>
      <c r="J3" s="1">
        <v>15</v>
      </c>
      <c r="K3" s="1">
        <v>17</v>
      </c>
      <c r="L3" s="1">
        <v>18</v>
      </c>
      <c r="M3" s="1">
        <v>19</v>
      </c>
      <c r="N3" s="1">
        <v>20</v>
      </c>
      <c r="O3" s="1">
        <v>21</v>
      </c>
      <c r="P3" s="1">
        <v>22</v>
      </c>
      <c r="Q3" s="1">
        <v>23</v>
      </c>
      <c r="R3" s="1">
        <v>24</v>
      </c>
      <c r="S3" s="1">
        <v>25</v>
      </c>
      <c r="T3" s="1">
        <v>26</v>
      </c>
      <c r="U3" s="1">
        <v>27</v>
      </c>
      <c r="V3" s="1">
        <v>28</v>
      </c>
      <c r="W3" s="1">
        <v>29</v>
      </c>
      <c r="X3" s="1">
        <v>30</v>
      </c>
      <c r="Y3" s="1">
        <v>31</v>
      </c>
      <c r="Z3" s="1">
        <v>32</v>
      </c>
      <c r="AA3" s="1">
        <v>33</v>
      </c>
      <c r="AB3" s="1">
        <v>34</v>
      </c>
      <c r="AC3" s="1">
        <v>35</v>
      </c>
      <c r="AD3" s="1">
        <v>36</v>
      </c>
      <c r="AE3" s="1">
        <v>37</v>
      </c>
      <c r="AF3" s="1">
        <v>38</v>
      </c>
      <c r="AG3" s="1">
        <v>39</v>
      </c>
      <c r="AH3" s="1">
        <v>40</v>
      </c>
      <c r="AI3" s="23">
        <v>41</v>
      </c>
      <c r="AJ3" s="2">
        <f>COUNT(C3:AI3)</f>
        <v>33</v>
      </c>
      <c r="AK3" t="s">
        <v>49</v>
      </c>
    </row>
    <row r="4" spans="1:38" x14ac:dyDescent="0.3">
      <c r="A4" s="10" t="s">
        <v>50</v>
      </c>
      <c r="B4" s="9" t="s">
        <v>42</v>
      </c>
      <c r="C4" s="14">
        <v>1.51</v>
      </c>
      <c r="D4" s="14">
        <v>1.82</v>
      </c>
      <c r="E4" s="14">
        <v>1.82</v>
      </c>
      <c r="F4" s="14">
        <v>1.82</v>
      </c>
      <c r="G4" s="14">
        <v>1.82</v>
      </c>
      <c r="H4" s="14">
        <v>1.82</v>
      </c>
      <c r="I4" s="14">
        <v>1.82</v>
      </c>
      <c r="J4" s="14">
        <v>1.82</v>
      </c>
      <c r="K4" s="14">
        <v>1.82</v>
      </c>
      <c r="L4" s="14">
        <v>1.82</v>
      </c>
      <c r="M4" s="14">
        <v>1.82</v>
      </c>
      <c r="N4" s="14">
        <v>1.82</v>
      </c>
      <c r="O4" s="14">
        <v>1.82</v>
      </c>
      <c r="P4" s="14">
        <v>1.82</v>
      </c>
      <c r="Q4" s="14">
        <v>1.82</v>
      </c>
      <c r="R4" s="14">
        <v>1.82</v>
      </c>
      <c r="S4" s="14">
        <v>1.82</v>
      </c>
      <c r="T4" s="14">
        <v>1.82</v>
      </c>
      <c r="U4" s="14">
        <v>1.82</v>
      </c>
      <c r="V4" s="14">
        <v>1.82</v>
      </c>
      <c r="W4" s="14">
        <v>1.82</v>
      </c>
      <c r="X4" s="14">
        <v>1.82</v>
      </c>
      <c r="Y4" s="14">
        <v>1.82</v>
      </c>
      <c r="Z4" s="14">
        <v>1.82</v>
      </c>
      <c r="AA4" s="14">
        <v>1.82</v>
      </c>
      <c r="AB4" s="14">
        <v>1.82</v>
      </c>
      <c r="AC4" s="14">
        <v>1.82</v>
      </c>
      <c r="AD4" s="14">
        <v>1.82</v>
      </c>
      <c r="AE4" s="14">
        <v>1.82</v>
      </c>
      <c r="AF4" s="14">
        <v>1.82</v>
      </c>
      <c r="AG4" s="14">
        <v>1.82</v>
      </c>
      <c r="AH4" s="14">
        <v>1.82</v>
      </c>
      <c r="AI4" s="15">
        <v>1.82</v>
      </c>
    </row>
    <row r="5" spans="1:38" x14ac:dyDescent="0.3">
      <c r="A5" s="10" t="s">
        <v>51</v>
      </c>
      <c r="B5" s="9" t="s">
        <v>33</v>
      </c>
      <c r="C5" s="5">
        <v>80</v>
      </c>
      <c r="D5" s="5">
        <v>80</v>
      </c>
      <c r="E5" s="5">
        <v>80</v>
      </c>
      <c r="F5" s="5">
        <v>80</v>
      </c>
      <c r="G5" s="5">
        <v>80</v>
      </c>
      <c r="H5" s="5">
        <v>80</v>
      </c>
      <c r="I5" s="5">
        <v>80</v>
      </c>
      <c r="J5" s="5">
        <v>80</v>
      </c>
      <c r="K5" s="5">
        <v>80</v>
      </c>
      <c r="L5" s="5">
        <v>80</v>
      </c>
      <c r="M5" s="5">
        <v>80</v>
      </c>
      <c r="N5" s="5">
        <v>80</v>
      </c>
      <c r="O5" s="5">
        <v>80</v>
      </c>
      <c r="P5" s="5">
        <v>80</v>
      </c>
      <c r="Q5" s="5">
        <v>80</v>
      </c>
      <c r="R5" s="5">
        <v>80</v>
      </c>
      <c r="S5" s="5">
        <v>80</v>
      </c>
      <c r="T5" s="5">
        <v>80</v>
      </c>
      <c r="U5" s="5">
        <v>80</v>
      </c>
      <c r="V5" s="5">
        <v>80</v>
      </c>
      <c r="W5" s="5">
        <v>80</v>
      </c>
      <c r="X5" s="5">
        <v>80</v>
      </c>
      <c r="Y5" s="5">
        <v>80</v>
      </c>
      <c r="Z5" s="5">
        <v>80</v>
      </c>
      <c r="AA5" s="5">
        <v>80</v>
      </c>
      <c r="AB5" s="5">
        <v>80</v>
      </c>
      <c r="AC5" s="5">
        <v>80</v>
      </c>
      <c r="AD5" s="5">
        <v>80</v>
      </c>
      <c r="AE5" s="5">
        <v>80</v>
      </c>
      <c r="AF5" s="5">
        <v>80</v>
      </c>
      <c r="AG5" s="5">
        <v>80</v>
      </c>
      <c r="AH5" s="5">
        <v>80</v>
      </c>
      <c r="AI5" s="22">
        <v>80</v>
      </c>
    </row>
    <row r="6" spans="1:38" x14ac:dyDescent="0.3">
      <c r="A6" s="10" t="s">
        <v>52</v>
      </c>
      <c r="B6" s="9" t="s">
        <v>15</v>
      </c>
      <c r="C6" s="14">
        <f>2*PI()*7.6*(C4/2)</f>
        <v>36.052917292596469</v>
      </c>
      <c r="D6" s="14">
        <f t="shared" ref="D6:AI6" si="0">2*PI()*7.6*(D4/2)</f>
        <v>43.454509584454023</v>
      </c>
      <c r="E6" s="14">
        <f t="shared" si="0"/>
        <v>43.454509584454023</v>
      </c>
      <c r="F6" s="14">
        <f t="shared" si="0"/>
        <v>43.454509584454023</v>
      </c>
      <c r="G6" s="14">
        <f t="shared" si="0"/>
        <v>43.454509584454023</v>
      </c>
      <c r="H6" s="14">
        <f t="shared" si="0"/>
        <v>43.454509584454023</v>
      </c>
      <c r="I6" s="14">
        <f t="shared" si="0"/>
        <v>43.454509584454023</v>
      </c>
      <c r="J6" s="14">
        <f t="shared" si="0"/>
        <v>43.454509584454023</v>
      </c>
      <c r="K6" s="14">
        <f t="shared" si="0"/>
        <v>43.454509584454023</v>
      </c>
      <c r="L6" s="14">
        <f t="shared" si="0"/>
        <v>43.454509584454023</v>
      </c>
      <c r="M6" s="14">
        <f t="shared" si="0"/>
        <v>43.454509584454023</v>
      </c>
      <c r="N6" s="14">
        <f t="shared" si="0"/>
        <v>43.454509584454023</v>
      </c>
      <c r="O6" s="14">
        <f t="shared" si="0"/>
        <v>43.454509584454023</v>
      </c>
      <c r="P6" s="14">
        <f t="shared" si="0"/>
        <v>43.454509584454023</v>
      </c>
      <c r="Q6" s="14">
        <f t="shared" si="0"/>
        <v>43.454509584454023</v>
      </c>
      <c r="R6" s="14">
        <f t="shared" si="0"/>
        <v>43.454509584454023</v>
      </c>
      <c r="S6" s="14">
        <f t="shared" si="0"/>
        <v>43.454509584454023</v>
      </c>
      <c r="T6" s="14">
        <f t="shared" si="0"/>
        <v>43.454509584454023</v>
      </c>
      <c r="U6" s="14">
        <f t="shared" si="0"/>
        <v>43.454509584454023</v>
      </c>
      <c r="V6" s="14">
        <f t="shared" si="0"/>
        <v>43.454509584454023</v>
      </c>
      <c r="W6" s="14">
        <f t="shared" si="0"/>
        <v>43.454509584454023</v>
      </c>
      <c r="X6" s="14">
        <f t="shared" si="0"/>
        <v>43.454509584454023</v>
      </c>
      <c r="Y6" s="14">
        <f t="shared" si="0"/>
        <v>43.454509584454023</v>
      </c>
      <c r="Z6" s="14">
        <f t="shared" si="0"/>
        <v>43.454509584454023</v>
      </c>
      <c r="AA6" s="14">
        <f t="shared" si="0"/>
        <v>43.454509584454023</v>
      </c>
      <c r="AB6" s="14">
        <f t="shared" si="0"/>
        <v>43.454509584454023</v>
      </c>
      <c r="AC6" s="14">
        <f t="shared" si="0"/>
        <v>43.454509584454023</v>
      </c>
      <c r="AD6" s="14">
        <f t="shared" si="0"/>
        <v>43.454509584454023</v>
      </c>
      <c r="AE6" s="14">
        <f t="shared" si="0"/>
        <v>43.454509584454023</v>
      </c>
      <c r="AF6" s="14">
        <f t="shared" si="0"/>
        <v>43.454509584454023</v>
      </c>
      <c r="AG6" s="14">
        <f t="shared" si="0"/>
        <v>43.454509584454023</v>
      </c>
      <c r="AH6" s="14">
        <f t="shared" si="0"/>
        <v>43.454509584454023</v>
      </c>
      <c r="AI6" s="15">
        <f t="shared" si="0"/>
        <v>43.454509584454023</v>
      </c>
    </row>
    <row r="7" spans="1:38" x14ac:dyDescent="0.3">
      <c r="A7" s="10" t="s">
        <v>53</v>
      </c>
      <c r="B7" s="9" t="s">
        <v>15</v>
      </c>
      <c r="C7" s="14">
        <f>C6*C5/100</f>
        <v>28.842333834077177</v>
      </c>
      <c r="D7" s="14">
        <f>D6*D5/100</f>
        <v>34.763607667563221</v>
      </c>
      <c r="E7" s="14">
        <f t="shared" ref="E7:R7" si="1">E6*E5/100</f>
        <v>34.763607667563221</v>
      </c>
      <c r="F7" s="14">
        <f t="shared" si="1"/>
        <v>34.763607667563221</v>
      </c>
      <c r="G7" s="14">
        <f t="shared" si="1"/>
        <v>34.763607667563221</v>
      </c>
      <c r="H7" s="14">
        <f t="shared" si="1"/>
        <v>34.763607667563221</v>
      </c>
      <c r="I7" s="14">
        <f t="shared" si="1"/>
        <v>34.763607667563221</v>
      </c>
      <c r="J7" s="14">
        <f t="shared" si="1"/>
        <v>34.763607667563221</v>
      </c>
      <c r="K7" s="14">
        <f t="shared" si="1"/>
        <v>34.763607667563221</v>
      </c>
      <c r="L7" s="14">
        <f t="shared" si="1"/>
        <v>34.763607667563221</v>
      </c>
      <c r="M7" s="14">
        <f t="shared" si="1"/>
        <v>34.763607667563221</v>
      </c>
      <c r="N7" s="14">
        <f t="shared" si="1"/>
        <v>34.763607667563221</v>
      </c>
      <c r="O7" s="14">
        <f t="shared" si="1"/>
        <v>34.763607667563221</v>
      </c>
      <c r="P7" s="14">
        <f t="shared" si="1"/>
        <v>34.763607667563221</v>
      </c>
      <c r="Q7" s="14">
        <f t="shared" si="1"/>
        <v>34.763607667563221</v>
      </c>
      <c r="R7" s="14">
        <f t="shared" si="1"/>
        <v>34.763607667563221</v>
      </c>
      <c r="S7" s="14">
        <f>S6*S5/100</f>
        <v>34.763607667563221</v>
      </c>
      <c r="T7" s="14">
        <f>T6*T5/100</f>
        <v>34.763607667563221</v>
      </c>
      <c r="U7" s="14">
        <f t="shared" ref="U7:AI7" si="2">U6*U5/100</f>
        <v>34.763607667563221</v>
      </c>
      <c r="V7" s="14">
        <f t="shared" si="2"/>
        <v>34.763607667563221</v>
      </c>
      <c r="W7" s="14">
        <f t="shared" si="2"/>
        <v>34.763607667563221</v>
      </c>
      <c r="X7" s="14">
        <f t="shared" si="2"/>
        <v>34.763607667563221</v>
      </c>
      <c r="Y7" s="14">
        <f t="shared" si="2"/>
        <v>34.763607667563221</v>
      </c>
      <c r="Z7" s="14">
        <f t="shared" si="2"/>
        <v>34.763607667563221</v>
      </c>
      <c r="AA7" s="14">
        <f t="shared" si="2"/>
        <v>34.763607667563221</v>
      </c>
      <c r="AB7" s="14">
        <f t="shared" si="2"/>
        <v>34.763607667563221</v>
      </c>
      <c r="AC7" s="14">
        <f t="shared" si="2"/>
        <v>34.763607667563221</v>
      </c>
      <c r="AD7" s="14">
        <f t="shared" si="2"/>
        <v>34.763607667563221</v>
      </c>
      <c r="AE7" s="14">
        <f t="shared" si="2"/>
        <v>34.763607667563221</v>
      </c>
      <c r="AF7" s="14">
        <f t="shared" si="2"/>
        <v>34.763607667563221</v>
      </c>
      <c r="AG7" s="14">
        <f t="shared" si="2"/>
        <v>34.763607667563221</v>
      </c>
      <c r="AH7" s="14">
        <f t="shared" si="2"/>
        <v>34.763607667563221</v>
      </c>
      <c r="AI7" s="15">
        <f t="shared" si="2"/>
        <v>34.763607667563221</v>
      </c>
      <c r="AJ7" s="13">
        <f>SUM(C7:AI7)</f>
        <v>1141.2777791961</v>
      </c>
      <c r="AK7" s="8" t="s">
        <v>15</v>
      </c>
    </row>
    <row r="8" spans="1:38" x14ac:dyDescent="0.3">
      <c r="A8" s="10" t="s">
        <v>60</v>
      </c>
      <c r="B8" s="9" t="s">
        <v>62</v>
      </c>
      <c r="C8" s="24">
        <v>6.5</v>
      </c>
      <c r="D8" s="24">
        <v>6.5</v>
      </c>
      <c r="E8" s="24">
        <v>6.5</v>
      </c>
      <c r="F8" s="24">
        <v>4.3</v>
      </c>
      <c r="G8" s="24">
        <v>4.3</v>
      </c>
      <c r="H8" s="24">
        <v>4.3</v>
      </c>
      <c r="I8" s="24">
        <v>4.3</v>
      </c>
      <c r="J8" s="17">
        <v>4.3</v>
      </c>
      <c r="K8" s="17">
        <v>4.3</v>
      </c>
      <c r="L8" s="16">
        <v>4.3</v>
      </c>
      <c r="M8" s="24">
        <v>4.3</v>
      </c>
      <c r="N8" s="17">
        <v>4.3</v>
      </c>
      <c r="O8" s="17">
        <v>4.3</v>
      </c>
      <c r="P8" s="17">
        <v>4.3</v>
      </c>
      <c r="Q8" s="17">
        <v>4.3</v>
      </c>
      <c r="R8" s="17">
        <v>4.3</v>
      </c>
      <c r="S8" s="17">
        <v>4.3</v>
      </c>
      <c r="T8" s="17">
        <v>4.3</v>
      </c>
      <c r="U8" s="17">
        <v>4.3</v>
      </c>
      <c r="V8" s="24">
        <v>3.7</v>
      </c>
      <c r="W8" s="17">
        <f>V8</f>
        <v>3.7</v>
      </c>
      <c r="X8" s="17">
        <f>V8</f>
        <v>3.7</v>
      </c>
      <c r="Y8" s="17">
        <f>V8</f>
        <v>3.7</v>
      </c>
      <c r="Z8" s="17">
        <f>V8</f>
        <v>3.7</v>
      </c>
      <c r="AA8" s="17">
        <f>V8</f>
        <v>3.7</v>
      </c>
      <c r="AB8" s="17">
        <f>V8</f>
        <v>3.7</v>
      </c>
      <c r="AC8" s="17">
        <v>3.7</v>
      </c>
      <c r="AD8" s="17">
        <v>3.1</v>
      </c>
      <c r="AE8" s="17">
        <v>3.1</v>
      </c>
      <c r="AF8" s="17">
        <v>3.1</v>
      </c>
      <c r="AG8" s="17">
        <v>3.1</v>
      </c>
      <c r="AH8" s="17">
        <v>3.1</v>
      </c>
      <c r="AI8" s="18">
        <v>3.1</v>
      </c>
    </row>
    <row r="9" spans="1:38" x14ac:dyDescent="0.3">
      <c r="A9" s="10" t="s">
        <v>63</v>
      </c>
      <c r="B9" s="9" t="s">
        <v>13</v>
      </c>
      <c r="C9" s="17">
        <f>_xlfn.XLOOKUP(C8,Sattdampft!A2:A20,Sattdampft!B2:B20,,-1)</f>
        <v>166.8</v>
      </c>
      <c r="D9" s="17">
        <f>_xlfn.XLOOKUP(D8,Sattdampft!A2:A20,Sattdampft!B2:B20,,-1)</f>
        <v>166.8</v>
      </c>
      <c r="E9" s="17">
        <f>_xlfn.XLOOKUP(E8,Sattdampft!A2:A20,Sattdampft!B2:B20,,-1)</f>
        <v>166.8</v>
      </c>
      <c r="F9" s="17">
        <f>_xlfn.XLOOKUP(F8,Sattdampft!A2:A20,Sattdampft!B2:B20,,-1)</f>
        <v>150.9</v>
      </c>
      <c r="G9" s="17">
        <f>_xlfn.XLOOKUP(G8,Sattdampft!A2:A20,Sattdampft!B2:B20,,-1)</f>
        <v>150.9</v>
      </c>
      <c r="H9" s="17">
        <f>_xlfn.XLOOKUP(H8,Sattdampft!A2:A20,Sattdampft!B2:B20,,-1)</f>
        <v>150.9</v>
      </c>
      <c r="I9" s="17">
        <f>_xlfn.XLOOKUP(I8,Sattdampft!A2:A20,Sattdampft!B2:B20,,-1)</f>
        <v>150.9</v>
      </c>
      <c r="J9" s="17">
        <f>_xlfn.XLOOKUP(J8,Sattdampft!A2:A20,Sattdampft!B2:B20,,-1)</f>
        <v>150.9</v>
      </c>
      <c r="K9" s="17">
        <f>_xlfn.XLOOKUP(K8,Sattdampft!A2:A20,Sattdampft!B2:B20,,-1)</f>
        <v>150.9</v>
      </c>
      <c r="L9" s="17">
        <f>_xlfn.XLOOKUP(L8,Sattdampft!A2:A20,Sattdampft!B2:B20,,-1)</f>
        <v>150.9</v>
      </c>
      <c r="M9" s="17">
        <f>_xlfn.XLOOKUP(M8,Sattdampft!A2:A20,Sattdampft!B2:B20,,-1)</f>
        <v>150.9</v>
      </c>
      <c r="N9" s="17">
        <f>_xlfn.XLOOKUP(N8,Sattdampft!A2:A20,Sattdampft!B2:B20,,-1)</f>
        <v>150.9</v>
      </c>
      <c r="O9" s="17">
        <f>_xlfn.XLOOKUP(O8,Sattdampft!A2:A20,Sattdampft!B2:B20,,-1)</f>
        <v>150.9</v>
      </c>
      <c r="P9" s="17">
        <f>_xlfn.XLOOKUP(P8,Sattdampft!A2:A20,Sattdampft!B2:B20,,-1)</f>
        <v>150.9</v>
      </c>
      <c r="Q9" s="17">
        <f>_xlfn.XLOOKUP(Q8,Sattdampft!A2:A20,Sattdampft!B2:B20,,-1)</f>
        <v>150.9</v>
      </c>
      <c r="R9" s="17">
        <f>_xlfn.XLOOKUP(R8,Sattdampft!A2:A20,Sattdampft!B2:B20,,-1)</f>
        <v>150.9</v>
      </c>
      <c r="S9" s="17">
        <f>_xlfn.XLOOKUP(S8,Sattdampft!A2:A20,Sattdampft!B2:B20,,-1)</f>
        <v>150.9</v>
      </c>
      <c r="T9" s="17">
        <f>_xlfn.XLOOKUP(T8,Sattdampft!A2:A20,Sattdampft!B2:B20,,-1)</f>
        <v>150.9</v>
      </c>
      <c r="U9" s="17">
        <f>_xlfn.XLOOKUP(U8,Sattdampft!A2:A20,Sattdampft!B2:B20,,-1)</f>
        <v>150.9</v>
      </c>
      <c r="V9" s="17">
        <f>_xlfn.XLOOKUP(V8,Sattdampft!A2:A20,Sattdampft!B2:B20,,-1)</f>
        <v>147.1</v>
      </c>
      <c r="W9" s="17">
        <f>_xlfn.XLOOKUP(W8,Sattdampft!A2:A20,Sattdampft!B2:B20,,-1)</f>
        <v>147.1</v>
      </c>
      <c r="X9" s="17">
        <f>_xlfn.XLOOKUP(X8,Sattdampft!A2:A20,Sattdampft!B2:B20,,-1)</f>
        <v>147.1</v>
      </c>
      <c r="Y9" s="17">
        <f>_xlfn.XLOOKUP(Y8,Sattdampft!A2:A20,Sattdampft!B2:B20,,-1)</f>
        <v>147.1</v>
      </c>
      <c r="Z9" s="17">
        <f>_xlfn.XLOOKUP(Z8,Sattdampft!A2:A20,Sattdampft!B2:B20,,-1)</f>
        <v>147.1</v>
      </c>
      <c r="AA9" s="17">
        <f>_xlfn.XLOOKUP(AA8,Sattdampft!A2:A20,Sattdampft!B2:B20,,-1)</f>
        <v>147.1</v>
      </c>
      <c r="AB9" s="17">
        <f>_xlfn.XLOOKUP(AB8,Sattdampft!A2:A20,Sattdampft!B2:B20,,-1)</f>
        <v>147.1</v>
      </c>
      <c r="AC9" s="17">
        <f>_xlfn.XLOOKUP(AC8,Sattdampft!A2:A20,Sattdampft!B2:B20,,-1)</f>
        <v>147.1</v>
      </c>
      <c r="AD9" s="17">
        <f>_xlfn.XLOOKUP(AD8,Sattdampft!A2:A20,Sattdampft!B2:B20,,-1)</f>
        <v>142.80000000000001</v>
      </c>
      <c r="AE9" s="17">
        <f>_xlfn.XLOOKUP(AE8,Sattdampft!A2:A20,Sattdampft!B2:B20,,-1)</f>
        <v>142.80000000000001</v>
      </c>
      <c r="AF9" s="17">
        <f>_xlfn.XLOOKUP(AF8,Sattdampft!A2:A20,Sattdampft!B2:B20,,-1)</f>
        <v>142.80000000000001</v>
      </c>
      <c r="AG9" s="17">
        <f>_xlfn.XLOOKUP(AG8,Sattdampft!A2:A20,Sattdampft!B2:B20,,-1)</f>
        <v>142.80000000000001</v>
      </c>
      <c r="AH9" s="17">
        <f>_xlfn.XLOOKUP(AH8,Sattdampft!A2:A20,Sattdampft!B2:B20,,-1)</f>
        <v>142.80000000000001</v>
      </c>
      <c r="AI9" s="18">
        <f>_xlfn.XLOOKUP(AI8,Sattdampft!A2:A20,Sattdampft!B2:B20,,-1)</f>
        <v>142.80000000000001</v>
      </c>
    </row>
    <row r="10" spans="1:38" x14ac:dyDescent="0.3">
      <c r="A10" s="10" t="s">
        <v>64</v>
      </c>
      <c r="B10" s="9" t="s">
        <v>13</v>
      </c>
      <c r="C10" s="25" cm="1">
        <f t="array" ref="C10">_xlfn.IFS(Main!C12=0,'A - 32,36,38,41 geschlossen'!C17,Main!C12=1,'A - 32,36,38,41 geschlossen'!C18)</f>
        <v>50</v>
      </c>
      <c r="D10" s="25" cm="1">
        <f t="array" ref="D10">_xlfn.IFS(Main!C12=0,'A - 32,36,38,41 geschlossen'!D17,Main!C12=1,'A - 32,36,38,41 geschlossen'!D18)</f>
        <v>55</v>
      </c>
      <c r="E10" s="25">
        <v>80</v>
      </c>
      <c r="F10" s="25">
        <v>95</v>
      </c>
      <c r="G10" s="25">
        <v>95</v>
      </c>
      <c r="H10" s="25">
        <v>95</v>
      </c>
      <c r="I10" s="25">
        <v>95</v>
      </c>
      <c r="J10" s="25">
        <v>95</v>
      </c>
      <c r="K10" s="25">
        <v>95</v>
      </c>
      <c r="L10" s="25">
        <v>95</v>
      </c>
      <c r="M10" s="25">
        <v>95</v>
      </c>
      <c r="N10" s="25">
        <v>95</v>
      </c>
      <c r="O10" s="25">
        <v>95</v>
      </c>
      <c r="P10" s="25">
        <v>95</v>
      </c>
      <c r="Q10" s="25">
        <v>95</v>
      </c>
      <c r="R10" s="25">
        <v>95</v>
      </c>
      <c r="S10" s="25">
        <v>95</v>
      </c>
      <c r="T10" s="25">
        <v>95</v>
      </c>
      <c r="U10" s="25">
        <v>95</v>
      </c>
      <c r="V10" s="25">
        <v>95</v>
      </c>
      <c r="W10" s="25" cm="1">
        <f t="array" ref="W10">_xlfn.IFS(Main!C12=0,'A - 32,36,38,41 geschlossen'!W17,Main!C12=1,'A - 32,36,38,41 geschlossen'!W18)</f>
        <v>95</v>
      </c>
      <c r="X10" s="25" cm="1">
        <f t="array" ref="X10">_xlfn.IFS(Main!C12=0,'A - 32,36,38,41 geschlossen'!X17,Main!C12=1,'A - 32,36,38,41 geschlossen'!X18)</f>
        <v>95</v>
      </c>
      <c r="Y10" s="25" cm="1">
        <f t="array" ref="Y10">_xlfn.IFS(Main!C12=0,'A - 32,36,38,41 geschlossen'!Y17,Main!C12=1,'A - 32,36,38,41 geschlossen'!Y18)</f>
        <v>95</v>
      </c>
      <c r="Z10" s="25" cm="1">
        <f t="array" ref="Z10">_xlfn.IFS(Main!C12=0,'A - 32,36,38,41 geschlossen'!Z17,Main!C12=1,'A - 32,36,38,41 geschlossen'!Z18)</f>
        <v>95</v>
      </c>
      <c r="AA10" s="25" cm="1">
        <f t="array" ref="AA10">_xlfn.IFS(Main!C12=0,'A - 32,36,38,41 geschlossen'!AA17,Main!C12=1,'A - 32,36,38,41 geschlossen'!AA18)</f>
        <v>95</v>
      </c>
      <c r="AB10" s="25" cm="1">
        <f t="array" ref="AB10">_xlfn.IFS(Main!C12=0,'A - 32,36,38,41 geschlossen'!AB17,Main!C12=1,'A - 32,36,38,41 geschlossen'!AB18)</f>
        <v>95</v>
      </c>
      <c r="AC10" s="25" cm="1">
        <f t="array" ref="AC10">_xlfn.IFS(Main!C12=0,'A - 32,36,38,41 geschlossen'!AC17,Main!C12=1,'A - 32,36,38,41 geschlossen'!AC18)</f>
        <v>95</v>
      </c>
      <c r="AD10" s="25" cm="1">
        <f t="array" ref="AD10">_xlfn.IFS(Main!C12=0,'A - 32,36,38,41 geschlossen'!AD17,Main!C12=1,'A - 32,36,38,41 geschlossen'!AD18)</f>
        <v>95</v>
      </c>
      <c r="AE10" s="25" cm="1">
        <f t="array" ref="AE10">_xlfn.IFS(Main!C12=0,'A - 32,36,38,41 geschlossen'!AE17,Main!C12=1,'A - 32,36,38,41 geschlossen'!AE18)</f>
        <v>95</v>
      </c>
      <c r="AF10" s="25" cm="1">
        <f t="array" ref="AF10">_xlfn.IFS(Main!C12=0,'A - 32,36,38,41 geschlossen'!AF17,Main!C12=1,'A - 32,36,38,41 geschlossen'!AF18)</f>
        <v>95</v>
      </c>
      <c r="AG10" s="25" cm="1">
        <f t="array" ref="AG10">_xlfn.IFS(Main!C12=0,'A - 32,36,38,41 geschlossen'!AG17,Main!C12=1,'A - 32,36,38,41 geschlossen'!AG18)</f>
        <v>95</v>
      </c>
      <c r="AH10" s="25" cm="1">
        <f t="array" ref="AH10">_xlfn.IFS(Main!C12=0,'A - 32,36,38,41 geschlossen'!AH17,Main!C12=1,'A - 32,36,38,41 geschlossen'!AH18)</f>
        <v>95</v>
      </c>
      <c r="AI10" s="25">
        <v>95</v>
      </c>
    </row>
    <row r="11" spans="1:38" x14ac:dyDescent="0.3">
      <c r="A11" s="10" t="s">
        <v>65</v>
      </c>
      <c r="B11" s="9" t="s">
        <v>13</v>
      </c>
      <c r="C11" s="14">
        <f>C9-C10</f>
        <v>116.80000000000001</v>
      </c>
      <c r="D11" s="14">
        <f t="shared" ref="D11:R11" si="3">D9-D10</f>
        <v>111.80000000000001</v>
      </c>
      <c r="E11" s="14">
        <f t="shared" si="3"/>
        <v>86.800000000000011</v>
      </c>
      <c r="F11" s="14">
        <f t="shared" si="3"/>
        <v>55.900000000000006</v>
      </c>
      <c r="G11" s="14">
        <f t="shared" si="3"/>
        <v>55.900000000000006</v>
      </c>
      <c r="H11" s="14">
        <f t="shared" si="3"/>
        <v>55.900000000000006</v>
      </c>
      <c r="I11" s="14">
        <f t="shared" si="3"/>
        <v>55.900000000000006</v>
      </c>
      <c r="J11" s="14">
        <f t="shared" si="3"/>
        <v>55.900000000000006</v>
      </c>
      <c r="K11" s="14">
        <f t="shared" si="3"/>
        <v>55.900000000000006</v>
      </c>
      <c r="L11" s="14">
        <f t="shared" si="3"/>
        <v>55.900000000000006</v>
      </c>
      <c r="M11" s="14">
        <f t="shared" si="3"/>
        <v>55.900000000000006</v>
      </c>
      <c r="N11" s="14">
        <f t="shared" si="3"/>
        <v>55.900000000000006</v>
      </c>
      <c r="O11" s="14">
        <f t="shared" si="3"/>
        <v>55.900000000000006</v>
      </c>
      <c r="P11" s="14">
        <f t="shared" si="3"/>
        <v>55.900000000000006</v>
      </c>
      <c r="Q11" s="14">
        <f t="shared" si="3"/>
        <v>55.900000000000006</v>
      </c>
      <c r="R11" s="14">
        <f t="shared" si="3"/>
        <v>55.900000000000006</v>
      </c>
      <c r="S11" s="14">
        <f>S9-S10</f>
        <v>55.900000000000006</v>
      </c>
      <c r="T11" s="14">
        <f>T9-T10</f>
        <v>55.900000000000006</v>
      </c>
      <c r="U11" s="14">
        <f t="shared" ref="U11:AE11" si="4">U9-U10</f>
        <v>55.900000000000006</v>
      </c>
      <c r="V11" s="14">
        <f t="shared" si="4"/>
        <v>52.099999999999994</v>
      </c>
      <c r="W11" s="14">
        <f t="shared" si="4"/>
        <v>52.099999999999994</v>
      </c>
      <c r="X11" s="14">
        <f t="shared" si="4"/>
        <v>52.099999999999994</v>
      </c>
      <c r="Y11" s="14">
        <f t="shared" si="4"/>
        <v>52.099999999999994</v>
      </c>
      <c r="Z11" s="14">
        <f t="shared" si="4"/>
        <v>52.099999999999994</v>
      </c>
      <c r="AA11" s="14">
        <f t="shared" si="4"/>
        <v>52.099999999999994</v>
      </c>
      <c r="AB11" s="14">
        <f t="shared" si="4"/>
        <v>52.099999999999994</v>
      </c>
      <c r="AC11" s="14">
        <f t="shared" si="4"/>
        <v>52.099999999999994</v>
      </c>
      <c r="AD11" s="14">
        <f t="shared" si="4"/>
        <v>47.800000000000011</v>
      </c>
      <c r="AE11" s="14">
        <f t="shared" si="4"/>
        <v>47.800000000000011</v>
      </c>
      <c r="AF11" s="14">
        <f>AF9-AF10</f>
        <v>47.800000000000011</v>
      </c>
      <c r="AG11" s="14">
        <f t="shared" ref="AG11:AI11" si="5">AG9-AG10</f>
        <v>47.800000000000011</v>
      </c>
      <c r="AH11" s="14">
        <f t="shared" si="5"/>
        <v>47.800000000000011</v>
      </c>
      <c r="AI11" s="15">
        <f t="shared" si="5"/>
        <v>47.800000000000011</v>
      </c>
    </row>
    <row r="12" spans="1:38" x14ac:dyDescent="0.3">
      <c r="A12" s="10" t="s">
        <v>71</v>
      </c>
      <c r="B12" s="9" t="s">
        <v>67</v>
      </c>
      <c r="C12" s="1">
        <v>459</v>
      </c>
      <c r="D12" s="1">
        <v>459</v>
      </c>
      <c r="E12" s="1">
        <v>459</v>
      </c>
      <c r="F12" s="1">
        <v>459</v>
      </c>
      <c r="G12" s="1">
        <v>459</v>
      </c>
      <c r="H12" s="1">
        <v>459</v>
      </c>
      <c r="I12" s="1">
        <v>459</v>
      </c>
      <c r="J12" s="1">
        <v>459</v>
      </c>
      <c r="K12" s="1">
        <v>459</v>
      </c>
      <c r="L12" s="1">
        <v>459</v>
      </c>
      <c r="M12" s="1">
        <v>459</v>
      </c>
      <c r="N12" s="1">
        <v>459</v>
      </c>
      <c r="O12" s="1">
        <v>459</v>
      </c>
      <c r="P12" s="1">
        <v>459</v>
      </c>
      <c r="Q12" s="1">
        <v>459</v>
      </c>
      <c r="R12" s="1">
        <v>459</v>
      </c>
      <c r="S12" s="1">
        <v>459</v>
      </c>
      <c r="T12" s="1">
        <v>459</v>
      </c>
      <c r="U12" s="1">
        <v>459</v>
      </c>
      <c r="V12" s="1">
        <v>459</v>
      </c>
      <c r="W12" s="1">
        <v>459</v>
      </c>
      <c r="X12" s="1">
        <v>459</v>
      </c>
      <c r="Y12" s="1">
        <v>459</v>
      </c>
      <c r="Z12" s="1">
        <v>459</v>
      </c>
      <c r="AA12" s="1">
        <v>459</v>
      </c>
      <c r="AB12" s="1">
        <v>459</v>
      </c>
      <c r="AC12" s="1">
        <v>459</v>
      </c>
      <c r="AD12" s="1">
        <v>459</v>
      </c>
      <c r="AE12" s="1">
        <v>459</v>
      </c>
      <c r="AF12" s="1">
        <v>459</v>
      </c>
      <c r="AG12" s="1">
        <v>459</v>
      </c>
      <c r="AH12" s="1">
        <v>459</v>
      </c>
      <c r="AI12" s="1">
        <v>459</v>
      </c>
    </row>
    <row r="13" spans="1:38" x14ac:dyDescent="0.3">
      <c r="A13" s="10"/>
      <c r="B13" s="9" t="s">
        <v>9</v>
      </c>
      <c r="C13" s="1">
        <f>C11*C12</f>
        <v>53611.200000000004</v>
      </c>
      <c r="D13" s="1">
        <f>D11*D12</f>
        <v>51316.200000000004</v>
      </c>
      <c r="E13" s="1">
        <f t="shared" ref="E13:AI13" si="6">E11*E12</f>
        <v>39841.200000000004</v>
      </c>
      <c r="F13" s="1">
        <f t="shared" si="6"/>
        <v>25658.100000000002</v>
      </c>
      <c r="G13" s="1">
        <f t="shared" si="6"/>
        <v>25658.100000000002</v>
      </c>
      <c r="H13" s="1">
        <f t="shared" si="6"/>
        <v>25658.100000000002</v>
      </c>
      <c r="I13" s="1">
        <f t="shared" si="6"/>
        <v>25658.100000000002</v>
      </c>
      <c r="J13" s="1">
        <f t="shared" si="6"/>
        <v>25658.100000000002</v>
      </c>
      <c r="K13" s="1">
        <f t="shared" si="6"/>
        <v>25658.100000000002</v>
      </c>
      <c r="L13" s="1">
        <f t="shared" si="6"/>
        <v>25658.100000000002</v>
      </c>
      <c r="M13" s="1">
        <f t="shared" si="6"/>
        <v>25658.100000000002</v>
      </c>
      <c r="N13" s="1">
        <f t="shared" si="6"/>
        <v>25658.100000000002</v>
      </c>
      <c r="O13" s="1">
        <f t="shared" si="6"/>
        <v>25658.100000000002</v>
      </c>
      <c r="P13" s="1">
        <f t="shared" si="6"/>
        <v>25658.100000000002</v>
      </c>
      <c r="Q13" s="1">
        <f t="shared" si="6"/>
        <v>25658.100000000002</v>
      </c>
      <c r="R13" s="1">
        <f t="shared" si="6"/>
        <v>25658.100000000002</v>
      </c>
      <c r="S13" s="1">
        <f t="shared" si="6"/>
        <v>25658.100000000002</v>
      </c>
      <c r="T13" s="1">
        <f t="shared" si="6"/>
        <v>25658.100000000002</v>
      </c>
      <c r="U13" s="1">
        <f t="shared" si="6"/>
        <v>25658.100000000002</v>
      </c>
      <c r="V13" s="1">
        <f t="shared" si="6"/>
        <v>23913.899999999998</v>
      </c>
      <c r="W13" s="1">
        <f t="shared" si="6"/>
        <v>23913.899999999998</v>
      </c>
      <c r="X13" s="1">
        <f t="shared" si="6"/>
        <v>23913.899999999998</v>
      </c>
      <c r="Y13" s="1">
        <f t="shared" si="6"/>
        <v>23913.899999999998</v>
      </c>
      <c r="Z13" s="1">
        <f t="shared" si="6"/>
        <v>23913.899999999998</v>
      </c>
      <c r="AA13" s="1">
        <f t="shared" si="6"/>
        <v>23913.899999999998</v>
      </c>
      <c r="AB13" s="1">
        <f t="shared" si="6"/>
        <v>23913.899999999998</v>
      </c>
      <c r="AC13" s="1">
        <f t="shared" si="6"/>
        <v>23913.899999999998</v>
      </c>
      <c r="AD13" s="1">
        <f t="shared" si="6"/>
        <v>21940.200000000004</v>
      </c>
      <c r="AE13" s="1">
        <f t="shared" si="6"/>
        <v>21940.200000000004</v>
      </c>
      <c r="AF13" s="1">
        <f t="shared" si="6"/>
        <v>21940.200000000004</v>
      </c>
      <c r="AG13" s="1">
        <f t="shared" si="6"/>
        <v>21940.200000000004</v>
      </c>
      <c r="AH13" s="1">
        <f t="shared" si="6"/>
        <v>21940.200000000004</v>
      </c>
      <c r="AI13" s="21">
        <f t="shared" si="6"/>
        <v>21940.200000000004</v>
      </c>
    </row>
    <row r="14" spans="1:38" x14ac:dyDescent="0.3">
      <c r="A14" s="11" t="s">
        <v>66</v>
      </c>
      <c r="B14" s="12" t="s">
        <v>17</v>
      </c>
      <c r="C14" s="19">
        <f>C7*C13/1000000</f>
        <v>1.5462721276454785</v>
      </c>
      <c r="D14" s="19">
        <f t="shared" ref="D14:AI14" si="7">D7*D13/1000000</f>
        <v>1.783936243790208</v>
      </c>
      <c r="E14" s="19">
        <f t="shared" si="7"/>
        <v>1.38502384580492</v>
      </c>
      <c r="F14" s="19">
        <f t="shared" si="7"/>
        <v>0.89196812189510399</v>
      </c>
      <c r="G14" s="19">
        <f t="shared" si="7"/>
        <v>0.89196812189510399</v>
      </c>
      <c r="H14" s="19">
        <f t="shared" si="7"/>
        <v>0.89196812189510399</v>
      </c>
      <c r="I14" s="19">
        <f t="shared" si="7"/>
        <v>0.89196812189510399</v>
      </c>
      <c r="J14" s="19">
        <f t="shared" si="7"/>
        <v>0.89196812189510399</v>
      </c>
      <c r="K14" s="19">
        <f t="shared" si="7"/>
        <v>0.89196812189510399</v>
      </c>
      <c r="L14" s="19">
        <f t="shared" si="7"/>
        <v>0.89196812189510399</v>
      </c>
      <c r="M14" s="19">
        <f t="shared" si="7"/>
        <v>0.89196812189510399</v>
      </c>
      <c r="N14" s="19">
        <f t="shared" si="7"/>
        <v>0.89196812189510399</v>
      </c>
      <c r="O14" s="19">
        <f t="shared" si="7"/>
        <v>0.89196812189510399</v>
      </c>
      <c r="P14" s="19">
        <f t="shared" si="7"/>
        <v>0.89196812189510399</v>
      </c>
      <c r="Q14" s="19">
        <f t="shared" si="7"/>
        <v>0.89196812189510399</v>
      </c>
      <c r="R14" s="19">
        <f t="shared" si="7"/>
        <v>0.89196812189510399</v>
      </c>
      <c r="S14" s="19">
        <f t="shared" si="7"/>
        <v>0.89196812189510399</v>
      </c>
      <c r="T14" s="19">
        <f t="shared" si="7"/>
        <v>0.89196812189510399</v>
      </c>
      <c r="U14" s="19">
        <f t="shared" si="7"/>
        <v>0.89196812189510399</v>
      </c>
      <c r="V14" s="19">
        <f t="shared" si="7"/>
        <v>0.83133343740134003</v>
      </c>
      <c r="W14" s="19">
        <f t="shared" si="7"/>
        <v>0.83133343740134003</v>
      </c>
      <c r="X14" s="19">
        <f t="shared" si="7"/>
        <v>0.83133343740134003</v>
      </c>
      <c r="Y14" s="19">
        <f t="shared" si="7"/>
        <v>0.83133343740134003</v>
      </c>
      <c r="Z14" s="19">
        <f t="shared" si="7"/>
        <v>0.83133343740134003</v>
      </c>
      <c r="AA14" s="19">
        <f t="shared" si="7"/>
        <v>0.83133343740134003</v>
      </c>
      <c r="AB14" s="19">
        <f t="shared" si="7"/>
        <v>0.83133343740134003</v>
      </c>
      <c r="AC14" s="19">
        <f t="shared" si="7"/>
        <v>0.83133343740134003</v>
      </c>
      <c r="AD14" s="19">
        <f t="shared" si="7"/>
        <v>0.76272050494787069</v>
      </c>
      <c r="AE14" s="19">
        <f t="shared" si="7"/>
        <v>0.76272050494787069</v>
      </c>
      <c r="AF14" s="19">
        <f t="shared" si="7"/>
        <v>0.76272050494787069</v>
      </c>
      <c r="AG14" s="19">
        <f t="shared" si="7"/>
        <v>0.76272050494787069</v>
      </c>
      <c r="AH14" s="19">
        <f t="shared" si="7"/>
        <v>0.76272050494787069</v>
      </c>
      <c r="AI14" s="20">
        <f t="shared" si="7"/>
        <v>0.76272050494787069</v>
      </c>
      <c r="AJ14" s="13">
        <f>SUM(C14:AI14)</f>
        <v>30.213712696460227</v>
      </c>
      <c r="AK14" s="8" t="s">
        <v>17</v>
      </c>
      <c r="AL14">
        <v>31.9</v>
      </c>
    </row>
    <row r="15" spans="1:38" x14ac:dyDescent="0.3">
      <c r="B15" s="9"/>
      <c r="C15" s="14"/>
      <c r="D15" s="14"/>
      <c r="E15" s="14"/>
      <c r="F15" s="14"/>
    </row>
    <row r="16" spans="1:38" x14ac:dyDescent="0.3">
      <c r="A16" s="6"/>
      <c r="B16" s="9"/>
      <c r="F16" s="14"/>
    </row>
    <row r="17" spans="2:35" x14ac:dyDescent="0.3"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2:35" x14ac:dyDescent="0.3">
      <c r="B18" s="9"/>
    </row>
    <row r="19" spans="2:35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23"/>
    </row>
  </sheetData>
  <mergeCells count="1">
    <mergeCell ref="A1:A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1:T16"/>
  <sheetViews>
    <sheetView topLeftCell="E1" workbookViewId="0">
      <selection activeCell="T10" sqref="T10"/>
    </sheetView>
  </sheetViews>
  <sheetFormatPr baseColWidth="10" defaultColWidth="9.109375" defaultRowHeight="14.4" x14ac:dyDescent="0.3"/>
  <cols>
    <col min="5" max="5" width="12" bestFit="1" customWidth="1"/>
    <col min="7" max="7" width="12" bestFit="1" customWidth="1"/>
  </cols>
  <sheetData>
    <row r="1" spans="1:20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20" x14ac:dyDescent="0.3">
      <c r="A2">
        <f>(1/B2+1/C2+1/D2+1/E2)</f>
        <v>2.7886058119323703E-3</v>
      </c>
      <c r="B2">
        <v>2443</v>
      </c>
      <c r="C2">
        <v>1939</v>
      </c>
      <c r="D2">
        <v>558</v>
      </c>
      <c r="E2">
        <v>14000</v>
      </c>
    </row>
    <row r="3" spans="1:20" x14ac:dyDescent="0.3">
      <c r="A3">
        <f>1/A2</f>
        <v>358.60213577732162</v>
      </c>
      <c r="B3">
        <f>1/B2</f>
        <v>4.0933278755628325E-4</v>
      </c>
      <c r="C3">
        <f>1/C2</f>
        <v>5.1572975760701394E-4</v>
      </c>
      <c r="D3">
        <f>1/D2</f>
        <v>1.7921146953405018E-3</v>
      </c>
      <c r="E3">
        <f>1/E2</f>
        <v>7.1428571428571434E-5</v>
      </c>
    </row>
    <row r="8" spans="1:20" x14ac:dyDescent="0.3">
      <c r="I8" t="s">
        <v>12</v>
      </c>
      <c r="K8" t="s">
        <v>11</v>
      </c>
      <c r="P8" t="s">
        <v>14</v>
      </c>
      <c r="S8" t="s">
        <v>19</v>
      </c>
    </row>
    <row r="9" spans="1:20" x14ac:dyDescent="0.3">
      <c r="G9" t="s">
        <v>5</v>
      </c>
      <c r="I9" t="s">
        <v>6</v>
      </c>
      <c r="K9" t="s">
        <v>7</v>
      </c>
      <c r="M9" t="s">
        <v>8</v>
      </c>
    </row>
    <row r="10" spans="1:20" x14ac:dyDescent="0.3">
      <c r="G10">
        <f>(I10-K10)*M10</f>
        <v>29046.772997963053</v>
      </c>
      <c r="H10" t="s">
        <v>9</v>
      </c>
      <c r="I10">
        <v>161</v>
      </c>
      <c r="J10" t="s">
        <v>13</v>
      </c>
      <c r="K10">
        <v>80</v>
      </c>
      <c r="L10" t="s">
        <v>13</v>
      </c>
      <c r="M10">
        <f>A3</f>
        <v>358.60213577732162</v>
      </c>
      <c r="N10" t="s">
        <v>58</v>
      </c>
      <c r="P10">
        <v>1122</v>
      </c>
      <c r="Q10" t="s">
        <v>15</v>
      </c>
      <c r="S10">
        <v>4.18</v>
      </c>
      <c r="T10" t="s">
        <v>20</v>
      </c>
    </row>
    <row r="11" spans="1:20" x14ac:dyDescent="0.3">
      <c r="G11">
        <f>G10/1000</f>
        <v>29.046772997963053</v>
      </c>
      <c r="H11" t="s">
        <v>10</v>
      </c>
    </row>
    <row r="12" spans="1:20" x14ac:dyDescent="0.3">
      <c r="G12">
        <f>G11*P10</f>
        <v>32590.479303714546</v>
      </c>
      <c r="H12" t="s">
        <v>16</v>
      </c>
    </row>
    <row r="13" spans="1:20" x14ac:dyDescent="0.3">
      <c r="G13">
        <f>G12/1000</f>
        <v>32.590479303714545</v>
      </c>
      <c r="H13" t="s">
        <v>17</v>
      </c>
      <c r="I13" t="s">
        <v>18</v>
      </c>
    </row>
    <row r="14" spans="1:20" x14ac:dyDescent="0.3">
      <c r="G14" s="2">
        <f>G12*60*60</f>
        <v>117325725.49337237</v>
      </c>
      <c r="K14" t="s">
        <v>22</v>
      </c>
    </row>
    <row r="15" spans="1:20" x14ac:dyDescent="0.3">
      <c r="G15">
        <f>G10*S10</f>
        <v>121415.51113148556</v>
      </c>
      <c r="H15" t="s">
        <v>21</v>
      </c>
      <c r="K15">
        <v>135</v>
      </c>
      <c r="L15" t="s">
        <v>23</v>
      </c>
    </row>
    <row r="16" spans="1:20" x14ac:dyDescent="0.3">
      <c r="G16">
        <f>G15/K15</f>
        <v>899.37415652952268</v>
      </c>
      <c r="H16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77EC-1A7B-47E3-B674-F84983E1A15B}">
  <sheetPr>
    <tabColor theme="1" tint="0.249977111117893"/>
  </sheetPr>
  <dimension ref="A1:F23"/>
  <sheetViews>
    <sheetView workbookViewId="0">
      <selection activeCell="F43" sqref="F43"/>
    </sheetView>
  </sheetViews>
  <sheetFormatPr baseColWidth="10" defaultRowHeight="14.4" x14ac:dyDescent="0.3"/>
  <sheetData>
    <row r="1" spans="1:2" x14ac:dyDescent="0.3">
      <c r="A1" t="s">
        <v>60</v>
      </c>
      <c r="B1" t="s">
        <v>61</v>
      </c>
    </row>
    <row r="2" spans="1:2" x14ac:dyDescent="0.3">
      <c r="A2">
        <v>1</v>
      </c>
      <c r="B2">
        <v>119</v>
      </c>
    </row>
    <row r="3" spans="1:2" x14ac:dyDescent="0.3">
      <c r="A3">
        <v>1.5</v>
      </c>
      <c r="B3">
        <v>126.7</v>
      </c>
    </row>
    <row r="4" spans="1:2" x14ac:dyDescent="0.3">
      <c r="A4">
        <v>2</v>
      </c>
      <c r="B4">
        <v>132.80000000000001</v>
      </c>
    </row>
    <row r="5" spans="1:2" x14ac:dyDescent="0.3">
      <c r="A5">
        <v>2.5</v>
      </c>
      <c r="B5">
        <v>138.1</v>
      </c>
    </row>
    <row r="6" spans="1:2" x14ac:dyDescent="0.3">
      <c r="A6">
        <v>2.9</v>
      </c>
      <c r="B6">
        <v>142.80000000000001</v>
      </c>
    </row>
    <row r="7" spans="1:2" x14ac:dyDescent="0.3">
      <c r="A7">
        <v>3.4</v>
      </c>
      <c r="B7">
        <v>147.1</v>
      </c>
    </row>
    <row r="8" spans="1:2" x14ac:dyDescent="0.3">
      <c r="A8">
        <v>3.9</v>
      </c>
      <c r="B8">
        <v>150.9</v>
      </c>
    </row>
    <row r="9" spans="1:2" x14ac:dyDescent="0.3">
      <c r="A9">
        <v>4.4000000000000004</v>
      </c>
      <c r="B9">
        <v>154.6</v>
      </c>
    </row>
    <row r="10" spans="1:2" x14ac:dyDescent="0.3">
      <c r="A10">
        <v>4.9000000000000004</v>
      </c>
      <c r="B10">
        <v>157.9</v>
      </c>
    </row>
    <row r="11" spans="1:2" x14ac:dyDescent="0.3">
      <c r="A11">
        <v>5.4</v>
      </c>
      <c r="B11">
        <v>161.1</v>
      </c>
    </row>
    <row r="12" spans="1:2" x14ac:dyDescent="0.3">
      <c r="A12">
        <v>5.9</v>
      </c>
      <c r="B12">
        <v>164</v>
      </c>
    </row>
    <row r="13" spans="1:2" x14ac:dyDescent="0.3">
      <c r="A13">
        <v>6.4</v>
      </c>
      <c r="B13">
        <v>166.8</v>
      </c>
    </row>
    <row r="14" spans="1:2" x14ac:dyDescent="0.3">
      <c r="A14">
        <v>6.9</v>
      </c>
      <c r="B14">
        <v>169.5</v>
      </c>
    </row>
    <row r="15" spans="1:2" x14ac:dyDescent="0.3">
      <c r="A15">
        <v>7.4</v>
      </c>
      <c r="B15">
        <v>172</v>
      </c>
    </row>
    <row r="16" spans="1:2" x14ac:dyDescent="0.3">
      <c r="A16">
        <v>7.8</v>
      </c>
      <c r="B16">
        <v>174.4</v>
      </c>
    </row>
    <row r="17" spans="1:6" x14ac:dyDescent="0.3">
      <c r="A17">
        <v>8.3000000000000007</v>
      </c>
      <c r="B17">
        <v>176.8</v>
      </c>
    </row>
    <row r="18" spans="1:6" x14ac:dyDescent="0.3">
      <c r="A18">
        <v>8.8000000000000007</v>
      </c>
      <c r="B18">
        <v>178.9</v>
      </c>
    </row>
    <row r="19" spans="1:6" x14ac:dyDescent="0.3">
      <c r="A19">
        <v>9.3000000000000007</v>
      </c>
      <c r="B19">
        <v>181</v>
      </c>
    </row>
    <row r="20" spans="1:6" x14ac:dyDescent="0.3">
      <c r="A20">
        <v>9.8000000000000007</v>
      </c>
      <c r="B20">
        <v>183.1</v>
      </c>
    </row>
    <row r="22" spans="1:6" x14ac:dyDescent="0.3">
      <c r="F22">
        <f>_xlfn.XLOOKUP(F23,A2:A20,B2:B20,,1)</f>
        <v>147.1</v>
      </c>
    </row>
    <row r="23" spans="1:6" x14ac:dyDescent="0.3">
      <c r="F23">
        <v>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Main</vt:lpstr>
      <vt:lpstr>A - 32,36,38,41 geschlossen</vt:lpstr>
      <vt:lpstr>B - Alle auf</vt:lpstr>
      <vt:lpstr>C - 2.TG Umbau</vt:lpstr>
      <vt:lpstr>ÄV - D1</vt:lpstr>
      <vt:lpstr>Tabelle1</vt:lpstr>
      <vt:lpstr>Sattdampft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Goetze Daniel</dc:creator>
  <cp:lastModifiedBy>Daniel Goetze</cp:lastModifiedBy>
  <dcterms:created xsi:type="dcterms:W3CDTF">2015-06-05T18:19:34Z</dcterms:created>
  <dcterms:modified xsi:type="dcterms:W3CDTF">2026-05-22T11:27:25Z</dcterms:modified>
</cp:coreProperties>
</file>